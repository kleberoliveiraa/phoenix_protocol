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c398ba6a0b19d3f/Documentos Pessoais (backup)/Phoenix Protocol® – Performance Operating System/"/>
    </mc:Choice>
  </mc:AlternateContent>
  <xr:revisionPtr revIDLastSave="15" documentId="11_8A50699E15E98353B102B0694B16F2D94293FD7F" xr6:coauthVersionLast="47" xr6:coauthVersionMax="47" xr10:uidLastSave="{AB408710-9FD3-4F85-AB30-DDB77CB09307}"/>
  <bookViews>
    <workbookView xWindow="-16725" yWindow="-1320" windowWidth="16380" windowHeight="20325" tabRatio="500" firstSheet="1" activeTab="3" xr2:uid="{00000000-000D-0000-FFFF-FFFF00000000}"/>
  </bookViews>
  <sheets>
    <sheet name="Início" sheetId="1" r:id="rId1"/>
    <sheet name="Painel" sheetId="2" r:id="rId2"/>
    <sheet name="Diário" sheetId="3" r:id="rId3"/>
    <sheet name="Semanal" sheetId="4" r:id="rId4"/>
    <sheet name="Avaliaçõ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5" l="1"/>
  <c r="F21" i="5"/>
  <c r="F20" i="5"/>
  <c r="F19" i="5"/>
  <c r="F18" i="5"/>
  <c r="F17" i="5"/>
  <c r="F16" i="5"/>
  <c r="F15" i="5"/>
  <c r="F10" i="5"/>
  <c r="F9" i="5"/>
  <c r="F8" i="5"/>
  <c r="F7" i="5"/>
  <c r="F6" i="5"/>
  <c r="F5" i="5"/>
  <c r="F4" i="5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K15" i="4" s="1"/>
  <c r="B3" i="3"/>
  <c r="J14" i="4" s="1"/>
  <c r="E12" i="2"/>
  <c r="C12" i="2"/>
  <c r="E10" i="2"/>
  <c r="C10" i="2"/>
  <c r="E8" i="2"/>
  <c r="C8" i="2"/>
  <c r="E6" i="2"/>
  <c r="C6" i="2"/>
  <c r="E4" i="2"/>
  <c r="C4" i="2"/>
  <c r="L4" i="4" l="1"/>
  <c r="K9" i="4"/>
  <c r="K14" i="4"/>
  <c r="M11" i="4"/>
  <c r="N11" i="4" s="1"/>
  <c r="L14" i="4"/>
  <c r="M14" i="4"/>
  <c r="N14" i="4" s="1"/>
  <c r="J5" i="4"/>
  <c r="L7" i="4"/>
  <c r="K12" i="4"/>
  <c r="K5" i="4"/>
  <c r="M7" i="4"/>
  <c r="N7" i="4" s="1"/>
  <c r="J10" i="4"/>
  <c r="L12" i="4"/>
  <c r="K7" i="4"/>
  <c r="J12" i="4"/>
  <c r="J3" i="4"/>
  <c r="L5" i="4"/>
  <c r="K10" i="4"/>
  <c r="M12" i="4"/>
  <c r="N12" i="4" s="1"/>
  <c r="J15" i="4"/>
  <c r="L3" i="4"/>
  <c r="K8" i="4"/>
  <c r="M10" i="4"/>
  <c r="N10" i="4" s="1"/>
  <c r="J13" i="4"/>
  <c r="L15" i="4"/>
  <c r="M3" i="4"/>
  <c r="N3" i="4" s="1"/>
  <c r="J6" i="4"/>
  <c r="L8" i="4"/>
  <c r="K13" i="4"/>
  <c r="M15" i="4"/>
  <c r="N15" i="4" s="1"/>
  <c r="K6" i="4"/>
  <c r="M8" i="4"/>
  <c r="N8" i="4" s="1"/>
  <c r="J11" i="4"/>
  <c r="L13" i="4"/>
  <c r="J4" i="4"/>
  <c r="L6" i="4"/>
  <c r="K11" i="4"/>
  <c r="M13" i="4"/>
  <c r="N13" i="4" s="1"/>
  <c r="M4" i="4"/>
  <c r="N4" i="4" s="1"/>
  <c r="J7" i="4"/>
  <c r="L9" i="4"/>
  <c r="M9" i="4"/>
  <c r="N9" i="4" s="1"/>
  <c r="K3" i="4"/>
  <c r="M5" i="4"/>
  <c r="N5" i="4" s="1"/>
  <c r="J8" i="4"/>
  <c r="L10" i="4"/>
  <c r="K4" i="4"/>
  <c r="M6" i="4"/>
  <c r="N6" i="4" s="1"/>
  <c r="J9" i="4"/>
  <c r="L11" i="4"/>
</calcChain>
</file>

<file path=xl/sharedStrings.xml><?xml version="1.0" encoding="utf-8"?>
<sst xmlns="http://schemas.openxmlformats.org/spreadsheetml/2006/main" count="83" uniqueCount="67">
  <si>
    <t>CALISTENIA MILITAR 90 DIAS — PLANILHA DE EVOLUÇÃO (VOLUME 3)</t>
  </si>
  <si>
    <t>Como usar esta planilha:</t>
  </si>
  <si>
    <t>1. Aba DIÁRIO — preencha todos os dias (2 min): data, treino cumprido, água, sono, humor, RPE e observações.</t>
  </si>
  <si>
    <t>2. Aba SEMANAL — preencha 1x por semana (5 min): peso, medidas, % de gordura e a faixa do desafio militar.</t>
  </si>
  <si>
    <t xml:space="preserve">   As colunas de médias (água, sono, humor) e adesão são calculadas automaticamente a partir do Diário.</t>
  </si>
  <si>
    <t>3. Aba AVALIAÇÕES — registre a bateria de testes nos Dias 0, 30, 60 e 90; a evolução é calculada automaticamente.</t>
  </si>
  <si>
    <t>4. Aba PAINEL — gráficos e indicadores automáticos: não digite nada nela, apenas acompanhe.</t>
  </si>
  <si>
    <t>LEGENDA:  células AMARELAS = você preenche  ·  células BRANCAS/CINZAS = fórmulas automáticas (não editar).</t>
  </si>
  <si>
    <t>A linha do Dia 1 e da Semana 1 contém VALORES DE EXEMPLO — substitua pelos seus dados reais.</t>
  </si>
  <si>
    <t>Dica: meça-se sempre nas mesmas condições (manhã, jejum) e nos mesmos pontos (Manual, Cap. 1.2).</t>
  </si>
  <si>
    <t>TREINE COMO UM SOLDADO. RECUPERE COMO UM ATLETA. MEÇA COMO UM ENGENHEIRO.</t>
  </si>
  <si>
    <t>PAINEL DE COMANDO — INDICADORES AUTOMÁTICOS</t>
  </si>
  <si>
    <t>Dias registrados</t>
  </si>
  <si>
    <t>Treinos cumpridos</t>
  </si>
  <si>
    <t>Adesão geral</t>
  </si>
  <si>
    <t>Água média (L/dia)</t>
  </si>
  <si>
    <t>Sono médio (h)</t>
  </si>
  <si>
    <t>Humor médio (1–5)</t>
  </si>
  <si>
    <t>Último peso registrado (kg)</t>
  </si>
  <si>
    <t>Variação de peso (kg)</t>
  </si>
  <si>
    <t>Última cintura (cm)</t>
  </si>
  <si>
    <t>Variação de cintura (cm)</t>
  </si>
  <si>
    <t>REGISTRO DIÁRIO — 90 DIAS  (amarelo = preencher)</t>
  </si>
  <si>
    <t>Dia</t>
  </si>
  <si>
    <t>Semana</t>
  </si>
  <si>
    <t>Data</t>
  </si>
  <si>
    <t>Treino cumprido?</t>
  </si>
  <si>
    <t>Água (L)</t>
  </si>
  <si>
    <t>Sono (h)</t>
  </si>
  <si>
    <t>Humor (1–5)</t>
  </si>
  <si>
    <t>RPE (1–10)</t>
  </si>
  <si>
    <t>Observações</t>
  </si>
  <si>
    <t>Sim</t>
  </si>
  <si>
    <t>Exemplo — substitua pelos seus dados</t>
  </si>
  <si>
    <t>REGISTRO SEMANAL — MEDIDAS E DESAFIOS  (amarelo = preencher · demais colunas = automáticas)</t>
  </si>
  <si>
    <t>Peso (kg)</t>
  </si>
  <si>
    <t>Cintura (cm)</t>
  </si>
  <si>
    <t>Quadril (cm)</t>
  </si>
  <si>
    <t>Peitoral (cm)</t>
  </si>
  <si>
    <t>Braço (cm)</t>
  </si>
  <si>
    <t>Coxa (cm)</t>
  </si>
  <si>
    <t>% Gordura</t>
  </si>
  <si>
    <t>Faixa do desafio</t>
  </si>
  <si>
    <t>Água média (L)</t>
  </si>
  <si>
    <t>Humor médio</t>
  </si>
  <si>
    <t>Adesão</t>
  </si>
  <si>
    <t>Notas da semana</t>
  </si>
  <si>
    <t>Bronze</t>
  </si>
  <si>
    <t>BATERIA DE TESTES — DIAS 0, 30, 60 E 90  (amarelo = preencher)</t>
  </si>
  <si>
    <t>Teste</t>
  </si>
  <si>
    <t>Dia 0</t>
  </si>
  <si>
    <t>Dia 30</t>
  </si>
  <si>
    <t>Dia 60</t>
  </si>
  <si>
    <t>Dia 90</t>
  </si>
  <si>
    <t>Evolução (Dia 90 − Dia 0)</t>
  </si>
  <si>
    <t>Flexões em 2 min (reps)</t>
  </si>
  <si>
    <t>Agachamentos em 2 min (reps)</t>
  </si>
  <si>
    <t>Abdominais em 2 min (reps)</t>
  </si>
  <si>
    <t>Barra fixa — máximo (reps)</t>
  </si>
  <si>
    <t>Prancha — tempo máximo (s)</t>
  </si>
  <si>
    <t>Corrida 3,2 km (min)</t>
  </si>
  <si>
    <t>Corda — saltos em 2 min</t>
  </si>
  <si>
    <t>Na corrida, evolução NEGATIVA é boa (menos minutos). Nos demais testes, evolução positiva é boa.</t>
  </si>
  <si>
    <t>Antropometria</t>
  </si>
  <si>
    <t>Indicador cintura/estatura (meta &lt; 0,55):</t>
  </si>
  <si>
    <t>Estatura (cm):</t>
  </si>
  <si>
    <t>Índice atual: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</si>
</sst>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+0.0;\-0.0;0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2B3320"/>
      <name val="Arial"/>
      <charset val="1"/>
    </font>
    <font>
      <sz val="10"/>
      <name val="Arial"/>
      <charset val="1"/>
    </font>
    <font>
      <b/>
      <sz val="10"/>
      <color rgb="FFC9A227"/>
      <name val="Arial"/>
      <charset val="1"/>
    </font>
    <font>
      <b/>
      <sz val="9"/>
      <color rgb="FF3D4A2E"/>
      <name val="Arial"/>
      <charset val="1"/>
    </font>
    <font>
      <b/>
      <sz val="12"/>
      <color rgb="FF2B3320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i/>
      <sz val="9"/>
      <color rgb="FF3D4A2E"/>
      <name val="Arial"/>
      <charset val="1"/>
    </font>
    <font>
      <b/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B3320"/>
        <bgColor rgb="FF3D4A2E"/>
      </patternFill>
    </fill>
    <fill>
      <patternFill patternType="solid">
        <fgColor rgb="FFF4F5EE"/>
        <bgColor rgb="FFF9F9F9"/>
      </patternFill>
    </fill>
    <fill>
      <patternFill patternType="solid">
        <fgColor rgb="FF3D4A2E"/>
        <bgColor rgb="FF2B3320"/>
      </patternFill>
    </fill>
    <fill>
      <patternFill patternType="solid">
        <fgColor rgb="FFFFF2CC"/>
        <bgColor rgb="FFF4F5EE"/>
      </patternFill>
    </fill>
  </fills>
  <borders count="2">
    <border>
      <left/>
      <right/>
      <top/>
      <bottom/>
      <diagonal/>
    </border>
    <border>
      <left style="thin">
        <color rgb="FFCFD3C0"/>
      </left>
      <right style="thin">
        <color rgb="FFCFD3C0"/>
      </right>
      <top style="thin">
        <color rgb="FFCFD3C0"/>
      </top>
      <bottom style="thin">
        <color rgb="FFCFD3C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6" fillId="3" borderId="1" xfId="0" applyNumberFormat="1" applyFont="1" applyFill="1" applyBorder="1" applyAlignment="1">
      <alignment horizontal="center"/>
    </xf>
    <xf numFmtId="9" fontId="6" fillId="3" borderId="1" xfId="0" applyNumberFormat="1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14" fontId="9" fillId="5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/>
    </xf>
    <xf numFmtId="0" fontId="9" fillId="5" borderId="1" xfId="0" applyFont="1" applyFill="1" applyBorder="1"/>
    <xf numFmtId="164" fontId="9" fillId="3" borderId="1" xfId="0" applyNumberFormat="1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center"/>
    </xf>
    <xf numFmtId="9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/>
    <xf numFmtId="165" fontId="9" fillId="3" borderId="1" xfId="0" applyNumberFormat="1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9" fillId="0" borderId="0" xfId="0" applyFont="1"/>
    <xf numFmtId="1" fontId="9" fillId="5" borderId="1" xfId="0" applyNumberFormat="1" applyFont="1" applyFill="1" applyBorder="1"/>
    <xf numFmtId="2" fontId="11" fillId="0" borderId="1" xfId="0" applyNumberFormat="1" applyFont="1" applyBorder="1"/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D3C0"/>
      <rgbColor rgb="FF878787"/>
      <rgbColor rgb="FF9999FF"/>
      <rgbColor rgb="FF903836"/>
      <rgbColor rgb="FFFFF2CC"/>
      <rgbColor rgb="FFF4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DCB7B6"/>
      <rgbColor rgb="FF3366FF"/>
      <rgbColor rgb="FF33CCCC"/>
      <rgbColor rgb="FF99CC00"/>
      <rgbColor rgb="FFFFCC00"/>
      <rgbColor rgb="FFC9A227"/>
      <rgbColor rgb="FFC0504D"/>
      <rgbColor rgb="FF666699"/>
      <rgbColor rgb="FFCC8F8E"/>
      <rgbColor rgb="FF003366"/>
      <rgbColor rgb="FF339966"/>
      <rgbColor rgb="FF003300"/>
      <rgbColor rgb="FF3D4A2E"/>
      <rgbColor rgb="FFBE4B48"/>
      <rgbColor rgb="FFAA433F"/>
      <rgbColor rgb="FF333399"/>
      <rgbColor rgb="FF2B33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Evolução do Peso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Semanal!$B$2</c:f>
              <c:strCache>
                <c:ptCount val="1"/>
                <c:pt idx="0">
                  <c:v>Peso (kg)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Semanal!$A$3:$A$15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Semanal!$B$3:$B$15</c:f>
              <c:numCache>
                <c:formatCode>0.0</c:formatCode>
                <c:ptCount val="13"/>
                <c:pt idx="0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42-443B-BD60-4415BF248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243398"/>
        <c:axId val="51384946"/>
      </c:lineChart>
      <c:catAx>
        <c:axId val="312433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1384946"/>
        <c:crosses val="autoZero"/>
        <c:auto val="1"/>
        <c:lblAlgn val="ctr"/>
        <c:lblOffset val="100"/>
        <c:noMultiLvlLbl val="0"/>
      </c:catAx>
      <c:valAx>
        <c:axId val="513849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12433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Medidas Corporais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Semanal!$C$2</c:f>
              <c:strCache>
                <c:ptCount val="1"/>
                <c:pt idx="0">
                  <c:v>Cintura (cm)</c:v>
                </c:pt>
              </c:strCache>
            </c:strRef>
          </c:tx>
          <c:spPr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Semanal!$A$3:$A$15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Semanal!$C$3:$C$15</c:f>
              <c:numCache>
                <c:formatCode>0.0</c:formatCode>
                <c:ptCount val="13"/>
                <c:pt idx="0">
                  <c:v>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66-4F62-AD6D-AB2B89CECA70}"/>
            </c:ext>
          </c:extLst>
        </c:ser>
        <c:ser>
          <c:idx val="1"/>
          <c:order val="1"/>
          <c:tx>
            <c:strRef>
              <c:f>Semanal!$D$2</c:f>
              <c:strCache>
                <c:ptCount val="1"/>
                <c:pt idx="0">
                  <c:v>Quadril (cm)</c:v>
                </c:pt>
              </c:strCache>
            </c:strRef>
          </c:tx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Semanal!$A$3:$A$15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Semanal!$D$3:$D$15</c:f>
              <c:numCache>
                <c:formatCode>0.0</c:formatCode>
                <c:ptCount val="13"/>
                <c:pt idx="0">
                  <c:v>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166-4F62-AD6D-AB2B89CECA70}"/>
            </c:ext>
          </c:extLst>
        </c:ser>
        <c:ser>
          <c:idx val="2"/>
          <c:order val="2"/>
          <c:tx>
            <c:strRef>
              <c:f>Semanal!$E$2</c:f>
              <c:strCache>
                <c:ptCount val="1"/>
                <c:pt idx="0">
                  <c:v>Peitoral (cm)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Semanal!$A$3:$A$15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Semanal!$E$3:$E$15</c:f>
              <c:numCache>
                <c:formatCode>0.0</c:formatCode>
                <c:ptCount val="13"/>
                <c:pt idx="0">
                  <c:v>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166-4F62-AD6D-AB2B89CECA70}"/>
            </c:ext>
          </c:extLst>
        </c:ser>
        <c:ser>
          <c:idx val="3"/>
          <c:order val="3"/>
          <c:tx>
            <c:strRef>
              <c:f>Semanal!$F$2</c:f>
              <c:strCache>
                <c:ptCount val="1"/>
                <c:pt idx="0">
                  <c:v>Braço (cm)</c:v>
                </c:pt>
              </c:strCache>
            </c:strRef>
          </c:tx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Semanal!$A$3:$A$15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Semanal!$F$3:$F$15</c:f>
              <c:numCache>
                <c:formatCode>0.0</c:formatCode>
                <c:ptCount val="13"/>
                <c:pt idx="0">
                  <c:v>36.5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166-4F62-AD6D-AB2B89CECA70}"/>
            </c:ext>
          </c:extLst>
        </c:ser>
        <c:ser>
          <c:idx val="4"/>
          <c:order val="4"/>
          <c:tx>
            <c:strRef>
              <c:f>Semanal!$G$2</c:f>
              <c:strCache>
                <c:ptCount val="1"/>
                <c:pt idx="0">
                  <c:v>Coxa (cm)</c:v>
                </c:pt>
              </c:strCache>
            </c:strRef>
          </c:tx>
          <c:spPr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Semanal!$A$3:$A$15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Semanal!$G$3:$G$15</c:f>
              <c:numCache>
                <c:formatCode>0.0</c:formatCode>
                <c:ptCount val="13"/>
                <c:pt idx="0">
                  <c:v>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166-4F62-AD6D-AB2B89CEC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186461"/>
        <c:axId val="91233426"/>
      </c:lineChart>
      <c:catAx>
        <c:axId val="161864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1233426"/>
        <c:crosses val="autoZero"/>
        <c:auto val="1"/>
        <c:lblAlgn val="ctr"/>
        <c:lblOffset val="100"/>
        <c:noMultiLvlLbl val="0"/>
      </c:catAx>
      <c:valAx>
        <c:axId val="912334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61864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% de Gordura Estimado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Semanal!$H$2</c:f>
              <c:strCache>
                <c:ptCount val="1"/>
                <c:pt idx="0">
                  <c:v>% Gordura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Semanal!$A$3:$A$15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Semanal!$H$3:$H$15</c:f>
              <c:numCache>
                <c:formatCode>0.0</c:formatCode>
                <c:ptCount val="13"/>
                <c:pt idx="0">
                  <c:v>24.5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CC-4819-917C-D43A03EE1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54489"/>
        <c:axId val="65578055"/>
      </c:lineChart>
      <c:catAx>
        <c:axId val="59544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5578055"/>
        <c:crosses val="autoZero"/>
        <c:auto val="1"/>
        <c:lblAlgn val="ctr"/>
        <c:lblOffset val="100"/>
        <c:noMultiLvlLbl val="0"/>
      </c:catAx>
      <c:valAx>
        <c:axId val="655780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9544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Água e Sono — médias semanais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Semanal!$J$2</c:f>
              <c:strCache>
                <c:ptCount val="1"/>
                <c:pt idx="0">
                  <c:v>Água média (L)</c:v>
                </c:pt>
              </c:strCache>
            </c:strRef>
          </c:tx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Semanal!$A$3:$A$15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Semanal!$J$3:$J$15</c:f>
              <c:numCache>
                <c:formatCode>0.0</c:formatCode>
                <c:ptCount val="13"/>
                <c:pt idx="0">
                  <c:v>2.8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5A-4537-B15D-E0224D51F8AB}"/>
            </c:ext>
          </c:extLst>
        </c:ser>
        <c:ser>
          <c:idx val="1"/>
          <c:order val="1"/>
          <c:tx>
            <c:strRef>
              <c:f>Semanal!$K$2</c:f>
              <c:strCache>
                <c:ptCount val="1"/>
                <c:pt idx="0">
                  <c:v>Sono médio (h)</c:v>
                </c:pt>
              </c:strCache>
            </c:strRef>
          </c:tx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Semanal!$A$3:$A$15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Semanal!$K$3:$K$15</c:f>
              <c:numCache>
                <c:formatCode>0.0</c:formatCode>
                <c:ptCount val="13"/>
                <c:pt idx="0">
                  <c:v>7.5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05A-4537-B15D-E0224D51F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609007"/>
        <c:axId val="29043597"/>
      </c:lineChart>
      <c:catAx>
        <c:axId val="676090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9043597"/>
        <c:crosses val="autoZero"/>
        <c:auto val="1"/>
        <c:lblAlgn val="ctr"/>
        <c:lblOffset val="100"/>
        <c:noMultiLvlLbl val="0"/>
      </c:catAx>
      <c:valAx>
        <c:axId val="29043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L / 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76090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Adesão semanal aos treinos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Semanal!$N$2</c:f>
              <c:strCache>
                <c:ptCount val="1"/>
                <c:pt idx="0">
                  <c:v>Adesão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Semanal!$A$3:$A$15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Semanal!$N$3:$N$15</c:f>
              <c:numCache>
                <c:formatCode>0%</c:formatCode>
                <c:ptCount val="13"/>
                <c:pt idx="0">
                  <c:v>0.14285714285714285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4-490F-8B4B-310B218B0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372453"/>
        <c:axId val="85527900"/>
      </c:barChart>
      <c:catAx>
        <c:axId val="473724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5527900"/>
        <c:crosses val="autoZero"/>
        <c:auto val="1"/>
        <c:lblAlgn val="ctr"/>
        <c:lblOffset val="100"/>
        <c:noMultiLvlLbl val="0"/>
      </c:catAx>
      <c:valAx>
        <c:axId val="855279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Adesão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73724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Humor médio semanal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Semanal!$L$2</c:f>
              <c:strCache>
                <c:ptCount val="1"/>
                <c:pt idx="0">
                  <c:v>Humor médio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Semanal!$A$3:$A$15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Semanal!$L$3:$L$15</c:f>
              <c:numCache>
                <c:formatCode>0.0</c:formatCode>
                <c:ptCount val="13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05-42F2-809F-8502BBDE1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879561"/>
        <c:axId val="2380991"/>
      </c:lineChart>
      <c:catAx>
        <c:axId val="678795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380991"/>
        <c:crosses val="autoZero"/>
        <c:auto val="1"/>
        <c:lblAlgn val="ctr"/>
        <c:lblOffset val="100"/>
        <c:noMultiLvlLbl val="0"/>
      </c:catAx>
      <c:valAx>
        <c:axId val="23809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1–5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78795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160560</xdr:rowOff>
    </xdr:from>
    <xdr:to>
      <xdr:col>2</xdr:col>
      <xdr:colOff>1740555</xdr:colOff>
      <xdr:row>26</xdr:row>
      <xdr:rowOff>23760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160920</xdr:rowOff>
    </xdr:from>
    <xdr:to>
      <xdr:col>2</xdr:col>
      <xdr:colOff>1740555</xdr:colOff>
      <xdr:row>40</xdr:row>
      <xdr:rowOff>23760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41</xdr:row>
      <xdr:rowOff>160560</xdr:rowOff>
    </xdr:from>
    <xdr:to>
      <xdr:col>2</xdr:col>
      <xdr:colOff>1740555</xdr:colOff>
      <xdr:row>54</xdr:row>
      <xdr:rowOff>23760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13</xdr:row>
      <xdr:rowOff>160560</xdr:rowOff>
    </xdr:from>
    <xdr:to>
      <xdr:col>7</xdr:col>
      <xdr:colOff>246600</xdr:colOff>
      <xdr:row>26</xdr:row>
      <xdr:rowOff>23760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0</xdr:colOff>
      <xdr:row>27</xdr:row>
      <xdr:rowOff>160920</xdr:rowOff>
    </xdr:from>
    <xdr:to>
      <xdr:col>7</xdr:col>
      <xdr:colOff>246600</xdr:colOff>
      <xdr:row>40</xdr:row>
      <xdr:rowOff>23760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0</xdr:colOff>
      <xdr:row>41</xdr:row>
      <xdr:rowOff>160560</xdr:rowOff>
    </xdr:from>
    <xdr:to>
      <xdr:col>7</xdr:col>
      <xdr:colOff>246600</xdr:colOff>
      <xdr:row>54</xdr:row>
      <xdr:rowOff>23760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5"/>
  <sheetViews>
    <sheetView showGridLines="0" zoomScaleNormal="100" workbookViewId="0">
      <selection activeCell="B6" sqref="B6"/>
    </sheetView>
  </sheetViews>
  <sheetFormatPr defaultColWidth="8.7109375" defaultRowHeight="15" x14ac:dyDescent="0.25"/>
  <cols>
    <col min="1" max="1" width="2" customWidth="1"/>
    <col min="2" max="2" width="100" customWidth="1"/>
  </cols>
  <sheetData>
    <row r="2" spans="2:2" ht="18" x14ac:dyDescent="0.25">
      <c r="B2" s="1" t="s">
        <v>0</v>
      </c>
    </row>
    <row r="4" spans="2:2" x14ac:dyDescent="0.25">
      <c r="B4" s="2" t="s">
        <v>1</v>
      </c>
    </row>
    <row r="5" spans="2:2" x14ac:dyDescent="0.25">
      <c r="B5" s="3" t="s">
        <v>2</v>
      </c>
    </row>
    <row r="6" spans="2:2" x14ac:dyDescent="0.25">
      <c r="B6" s="3" t="s">
        <v>3</v>
      </c>
    </row>
    <row r="7" spans="2:2" x14ac:dyDescent="0.25">
      <c r="B7" s="3" t="s">
        <v>4</v>
      </c>
    </row>
    <row r="8" spans="2:2" x14ac:dyDescent="0.25">
      <c r="B8" s="3" t="s">
        <v>5</v>
      </c>
    </row>
    <row r="9" spans="2:2" x14ac:dyDescent="0.25">
      <c r="B9" s="3" t="s">
        <v>6</v>
      </c>
    </row>
    <row r="10" spans="2:2" x14ac:dyDescent="0.25">
      <c r="B10" s="3"/>
    </row>
    <row r="11" spans="2:2" x14ac:dyDescent="0.25">
      <c r="B11" s="3" t="s">
        <v>7</v>
      </c>
    </row>
    <row r="12" spans="2:2" x14ac:dyDescent="0.25">
      <c r="B12" s="3" t="s">
        <v>8</v>
      </c>
    </row>
    <row r="13" spans="2:2" x14ac:dyDescent="0.25">
      <c r="B13" s="3" t="s">
        <v>9</v>
      </c>
    </row>
    <row r="15" spans="2:2" x14ac:dyDescent="0.25">
      <c r="B15" s="4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2"/>
  <sheetViews>
    <sheetView showGridLines="0" zoomScaleNormal="100" workbookViewId="0">
      <selection activeCell="J30" sqref="J30"/>
    </sheetView>
  </sheetViews>
  <sheetFormatPr defaultColWidth="8.7109375" defaultRowHeight="15" x14ac:dyDescent="0.25"/>
  <cols>
    <col min="1" max="1" width="2" customWidth="1"/>
    <col min="2" max="2" width="31" customWidth="1"/>
    <col min="3" max="3" width="34.28515625" customWidth="1"/>
    <col min="4" max="4" width="26" customWidth="1"/>
    <col min="5" max="5" width="14" customWidth="1"/>
    <col min="6" max="6" width="4" customWidth="1"/>
  </cols>
  <sheetData>
    <row r="2" spans="2:5" ht="18" x14ac:dyDescent="0.25">
      <c r="B2" s="26" t="s">
        <v>11</v>
      </c>
      <c r="C2" s="26"/>
      <c r="D2" s="26"/>
      <c r="E2" s="26"/>
    </row>
    <row r="4" spans="2:5" ht="15.75" x14ac:dyDescent="0.25">
      <c r="B4" s="5" t="s">
        <v>12</v>
      </c>
      <c r="C4" s="6">
        <f>COUNTA(Diário!C3:C92)</f>
        <v>1</v>
      </c>
      <c r="D4" s="5" t="s">
        <v>13</v>
      </c>
      <c r="E4" s="6">
        <f>COUNTIF(Diário!D3:D92,"Sim")</f>
        <v>1</v>
      </c>
    </row>
    <row r="6" spans="2:5" ht="15.75" x14ac:dyDescent="0.25">
      <c r="B6" s="5" t="s">
        <v>14</v>
      </c>
      <c r="C6" s="7">
        <f>IFERROR(COUNTIF(Diário!D3:D92,"Sim")/COUNTA(Diário!C3:C92),"")</f>
        <v>1</v>
      </c>
      <c r="D6" s="5" t="s">
        <v>15</v>
      </c>
      <c r="E6" s="8">
        <f>IFERROR(AVERAGE(Diário!E3:E92),"")</f>
        <v>2.8</v>
      </c>
    </row>
    <row r="8" spans="2:5" ht="15.75" x14ac:dyDescent="0.25">
      <c r="B8" s="5" t="s">
        <v>16</v>
      </c>
      <c r="C8" s="8">
        <f>IFERROR(AVERAGE(Diário!F3:F92),"")</f>
        <v>7.5</v>
      </c>
      <c r="D8" s="5" t="s">
        <v>17</v>
      </c>
      <c r="E8" s="8">
        <f>IFERROR(AVERAGE(Diário!G3:G92),"")</f>
        <v>4</v>
      </c>
    </row>
    <row r="10" spans="2:5" ht="15.75" x14ac:dyDescent="0.25">
      <c r="B10" s="5" t="s">
        <v>18</v>
      </c>
      <c r="C10" s="8">
        <f>IFERROR(LOOKUP(2,1/(Semanal!B3:B15&lt;&gt;""),Semanal!B3:B15),"")</f>
        <v>84</v>
      </c>
      <c r="D10" s="5" t="s">
        <v>19</v>
      </c>
      <c r="E10" s="9">
        <f>IFERROR(LOOKUP(2,1/(Semanal!B3:B15&lt;&gt;""),Semanal!B3:B15)-Semanal!B3,"")</f>
        <v>0</v>
      </c>
    </row>
    <row r="12" spans="2:5" ht="15.75" x14ac:dyDescent="0.25">
      <c r="B12" s="5" t="s">
        <v>20</v>
      </c>
      <c r="C12" s="8">
        <f>IFERROR(LOOKUP(2,1/(Semanal!C3:C15&lt;&gt;""),Semanal!C3:C15),"")</f>
        <v>96</v>
      </c>
      <c r="D12" s="5" t="s">
        <v>21</v>
      </c>
      <c r="E12" s="9">
        <f>IFERROR(LOOKUP(2,1/(Semanal!C3:C15&lt;&gt;""),Semanal!C3:C15)-Semanal!C3,"")</f>
        <v>0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2"/>
  <sheetViews>
    <sheetView zoomScaleNormal="100" workbookViewId="0">
      <pane ySplit="2" topLeftCell="A3" activePane="bottomLeft" state="frozen"/>
      <selection pane="bottomLeft" activeCell="F3" sqref="F3"/>
    </sheetView>
  </sheetViews>
  <sheetFormatPr defaultColWidth="8.7109375" defaultRowHeight="15" x14ac:dyDescent="0.25"/>
  <cols>
    <col min="1" max="1" width="6" customWidth="1"/>
    <col min="2" max="2" width="8" customWidth="1"/>
    <col min="3" max="3" width="11" customWidth="1"/>
    <col min="4" max="4" width="14" customWidth="1"/>
    <col min="5" max="6" width="9" customWidth="1"/>
    <col min="7" max="7" width="11" customWidth="1"/>
    <col min="8" max="8" width="10" customWidth="1"/>
    <col min="9" max="9" width="40" customWidth="1"/>
  </cols>
  <sheetData>
    <row r="1" spans="1:9" ht="15.75" x14ac:dyDescent="0.25">
      <c r="A1" s="27" t="s">
        <v>22</v>
      </c>
      <c r="B1" s="27"/>
      <c r="C1" s="27"/>
      <c r="D1" s="27"/>
      <c r="E1" s="27"/>
      <c r="F1" s="27"/>
      <c r="G1" s="27"/>
      <c r="H1" s="27"/>
      <c r="I1" s="27"/>
    </row>
    <row r="2" spans="1:9" ht="24" x14ac:dyDescent="0.25">
      <c r="A2" s="10" t="s">
        <v>23</v>
      </c>
      <c r="B2" s="10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G2" s="10" t="s">
        <v>29</v>
      </c>
      <c r="H2" s="10" t="s">
        <v>30</v>
      </c>
      <c r="I2" s="10" t="s">
        <v>31</v>
      </c>
    </row>
    <row r="3" spans="1:9" x14ac:dyDescent="0.25">
      <c r="A3" s="11">
        <v>1</v>
      </c>
      <c r="B3" s="11">
        <f t="shared" ref="B3:B34" si="0">ROUNDUP(A3/7,0)</f>
        <v>1</v>
      </c>
      <c r="C3" s="12">
        <v>46220</v>
      </c>
      <c r="D3" s="13" t="s">
        <v>32</v>
      </c>
      <c r="E3" s="14">
        <v>2.8</v>
      </c>
      <c r="F3" s="14">
        <v>7.5</v>
      </c>
      <c r="G3" s="13">
        <v>4</v>
      </c>
      <c r="H3" s="13">
        <v>7</v>
      </c>
      <c r="I3" s="15" t="s">
        <v>33</v>
      </c>
    </row>
    <row r="4" spans="1:9" x14ac:dyDescent="0.25">
      <c r="A4" s="11">
        <v>2</v>
      </c>
      <c r="B4" s="11">
        <f t="shared" si="0"/>
        <v>1</v>
      </c>
      <c r="C4" s="12"/>
      <c r="D4" s="13"/>
      <c r="E4" s="14"/>
      <c r="F4" s="14"/>
      <c r="G4" s="13"/>
      <c r="H4" s="13"/>
      <c r="I4" s="15"/>
    </row>
    <row r="5" spans="1:9" x14ac:dyDescent="0.25">
      <c r="A5" s="11">
        <v>3</v>
      </c>
      <c r="B5" s="11">
        <f t="shared" si="0"/>
        <v>1</v>
      </c>
      <c r="C5" s="12"/>
      <c r="D5" s="13"/>
      <c r="E5" s="14"/>
      <c r="F5" s="14"/>
      <c r="G5" s="13"/>
      <c r="H5" s="13"/>
      <c r="I5" s="15"/>
    </row>
    <row r="6" spans="1:9" x14ac:dyDescent="0.25">
      <c r="A6" s="11">
        <v>4</v>
      </c>
      <c r="B6" s="11">
        <f t="shared" si="0"/>
        <v>1</v>
      </c>
      <c r="C6" s="12"/>
      <c r="D6" s="13"/>
      <c r="E6" s="14"/>
      <c r="F6" s="14"/>
      <c r="G6" s="13"/>
      <c r="H6" s="13"/>
      <c r="I6" s="15"/>
    </row>
    <row r="7" spans="1:9" x14ac:dyDescent="0.25">
      <c r="A7" s="11">
        <v>5</v>
      </c>
      <c r="B7" s="11">
        <f t="shared" si="0"/>
        <v>1</v>
      </c>
      <c r="C7" s="12"/>
      <c r="D7" s="13"/>
      <c r="E7" s="14"/>
      <c r="F7" s="14"/>
      <c r="G7" s="13"/>
      <c r="H7" s="13"/>
      <c r="I7" s="15"/>
    </row>
    <row r="8" spans="1:9" x14ac:dyDescent="0.25">
      <c r="A8" s="11">
        <v>6</v>
      </c>
      <c r="B8" s="11">
        <f t="shared" si="0"/>
        <v>1</v>
      </c>
      <c r="C8" s="12"/>
      <c r="D8" s="13"/>
      <c r="E8" s="14"/>
      <c r="F8" s="14"/>
      <c r="G8" s="13"/>
      <c r="H8" s="13"/>
      <c r="I8" s="15"/>
    </row>
    <row r="9" spans="1:9" x14ac:dyDescent="0.25">
      <c r="A9" s="11">
        <v>7</v>
      </c>
      <c r="B9" s="11">
        <f t="shared" si="0"/>
        <v>1</v>
      </c>
      <c r="C9" s="12"/>
      <c r="D9" s="13"/>
      <c r="E9" s="14"/>
      <c r="F9" s="14"/>
      <c r="G9" s="13"/>
      <c r="H9" s="13"/>
      <c r="I9" s="15"/>
    </row>
    <row r="10" spans="1:9" x14ac:dyDescent="0.25">
      <c r="A10" s="11">
        <v>8</v>
      </c>
      <c r="B10" s="11">
        <f t="shared" si="0"/>
        <v>2</v>
      </c>
      <c r="C10" s="12"/>
      <c r="D10" s="13"/>
      <c r="E10" s="14"/>
      <c r="F10" s="14"/>
      <c r="G10" s="13"/>
      <c r="H10" s="13"/>
      <c r="I10" s="15"/>
    </row>
    <row r="11" spans="1:9" x14ac:dyDescent="0.25">
      <c r="A11" s="11">
        <v>9</v>
      </c>
      <c r="B11" s="11">
        <f t="shared" si="0"/>
        <v>2</v>
      </c>
      <c r="C11" s="12"/>
      <c r="D11" s="13"/>
      <c r="E11" s="14"/>
      <c r="F11" s="14"/>
      <c r="G11" s="13"/>
      <c r="H11" s="13"/>
      <c r="I11" s="15"/>
    </row>
    <row r="12" spans="1:9" x14ac:dyDescent="0.25">
      <c r="A12" s="11">
        <v>10</v>
      </c>
      <c r="B12" s="11">
        <f t="shared" si="0"/>
        <v>2</v>
      </c>
      <c r="C12" s="12"/>
      <c r="D12" s="13"/>
      <c r="E12" s="14"/>
      <c r="F12" s="14"/>
      <c r="G12" s="13"/>
      <c r="H12" s="13"/>
      <c r="I12" s="15"/>
    </row>
    <row r="13" spans="1:9" x14ac:dyDescent="0.25">
      <c r="A13" s="11">
        <v>11</v>
      </c>
      <c r="B13" s="11">
        <f t="shared" si="0"/>
        <v>2</v>
      </c>
      <c r="C13" s="12"/>
      <c r="D13" s="13"/>
      <c r="E13" s="14"/>
      <c r="F13" s="14"/>
      <c r="G13" s="13"/>
      <c r="H13" s="13"/>
      <c r="I13" s="15"/>
    </row>
    <row r="14" spans="1:9" x14ac:dyDescent="0.25">
      <c r="A14" s="11">
        <v>12</v>
      </c>
      <c r="B14" s="11">
        <f t="shared" si="0"/>
        <v>2</v>
      </c>
      <c r="C14" s="12"/>
      <c r="D14" s="13"/>
      <c r="E14" s="14"/>
      <c r="F14" s="14"/>
      <c r="G14" s="13"/>
      <c r="H14" s="13"/>
      <c r="I14" s="15"/>
    </row>
    <row r="15" spans="1:9" x14ac:dyDescent="0.25">
      <c r="A15" s="11">
        <v>13</v>
      </c>
      <c r="B15" s="11">
        <f t="shared" si="0"/>
        <v>2</v>
      </c>
      <c r="C15" s="12"/>
      <c r="D15" s="13"/>
      <c r="E15" s="14"/>
      <c r="F15" s="14"/>
      <c r="G15" s="13"/>
      <c r="H15" s="13"/>
      <c r="I15" s="15"/>
    </row>
    <row r="16" spans="1:9" x14ac:dyDescent="0.25">
      <c r="A16" s="11">
        <v>14</v>
      </c>
      <c r="B16" s="11">
        <f t="shared" si="0"/>
        <v>2</v>
      </c>
      <c r="C16" s="12"/>
      <c r="D16" s="13"/>
      <c r="E16" s="14"/>
      <c r="F16" s="14"/>
      <c r="G16" s="13"/>
      <c r="H16" s="13"/>
      <c r="I16" s="15"/>
    </row>
    <row r="17" spans="1:9" x14ac:dyDescent="0.25">
      <c r="A17" s="11">
        <v>15</v>
      </c>
      <c r="B17" s="11">
        <f t="shared" si="0"/>
        <v>3</v>
      </c>
      <c r="C17" s="12"/>
      <c r="D17" s="13"/>
      <c r="E17" s="14"/>
      <c r="F17" s="14"/>
      <c r="G17" s="13"/>
      <c r="H17" s="13"/>
      <c r="I17" s="15"/>
    </row>
    <row r="18" spans="1:9" x14ac:dyDescent="0.25">
      <c r="A18" s="11">
        <v>16</v>
      </c>
      <c r="B18" s="11">
        <f t="shared" si="0"/>
        <v>3</v>
      </c>
      <c r="C18" s="12"/>
      <c r="D18" s="13"/>
      <c r="E18" s="14"/>
      <c r="F18" s="14"/>
      <c r="G18" s="13"/>
      <c r="H18" s="13"/>
      <c r="I18" s="15"/>
    </row>
    <row r="19" spans="1:9" x14ac:dyDescent="0.25">
      <c r="A19" s="11">
        <v>17</v>
      </c>
      <c r="B19" s="11">
        <f t="shared" si="0"/>
        <v>3</v>
      </c>
      <c r="C19" s="12"/>
      <c r="D19" s="13"/>
      <c r="E19" s="14"/>
      <c r="F19" s="14"/>
      <c r="G19" s="13"/>
      <c r="H19" s="13"/>
      <c r="I19" s="15"/>
    </row>
    <row r="20" spans="1:9" x14ac:dyDescent="0.25">
      <c r="A20" s="11">
        <v>18</v>
      </c>
      <c r="B20" s="11">
        <f t="shared" si="0"/>
        <v>3</v>
      </c>
      <c r="C20" s="12"/>
      <c r="D20" s="13"/>
      <c r="E20" s="14"/>
      <c r="F20" s="14"/>
      <c r="G20" s="13"/>
      <c r="H20" s="13"/>
      <c r="I20" s="15"/>
    </row>
    <row r="21" spans="1:9" x14ac:dyDescent="0.25">
      <c r="A21" s="11">
        <v>19</v>
      </c>
      <c r="B21" s="11">
        <f t="shared" si="0"/>
        <v>3</v>
      </c>
      <c r="C21" s="12"/>
      <c r="D21" s="13"/>
      <c r="E21" s="14"/>
      <c r="F21" s="14"/>
      <c r="G21" s="13"/>
      <c r="H21" s="13"/>
      <c r="I21" s="15"/>
    </row>
    <row r="22" spans="1:9" x14ac:dyDescent="0.25">
      <c r="A22" s="11">
        <v>20</v>
      </c>
      <c r="B22" s="11">
        <f t="shared" si="0"/>
        <v>3</v>
      </c>
      <c r="C22" s="12"/>
      <c r="D22" s="13"/>
      <c r="E22" s="14"/>
      <c r="F22" s="14"/>
      <c r="G22" s="13"/>
      <c r="H22" s="13"/>
      <c r="I22" s="15"/>
    </row>
    <row r="23" spans="1:9" x14ac:dyDescent="0.25">
      <c r="A23" s="11">
        <v>21</v>
      </c>
      <c r="B23" s="11">
        <f t="shared" si="0"/>
        <v>3</v>
      </c>
      <c r="C23" s="12"/>
      <c r="D23" s="13"/>
      <c r="E23" s="14"/>
      <c r="F23" s="14"/>
      <c r="G23" s="13"/>
      <c r="H23" s="13"/>
      <c r="I23" s="15"/>
    </row>
    <row r="24" spans="1:9" x14ac:dyDescent="0.25">
      <c r="A24" s="11">
        <v>22</v>
      </c>
      <c r="B24" s="11">
        <f t="shared" si="0"/>
        <v>4</v>
      </c>
      <c r="C24" s="12"/>
      <c r="D24" s="13"/>
      <c r="E24" s="14"/>
      <c r="F24" s="14"/>
      <c r="G24" s="13"/>
      <c r="H24" s="13"/>
      <c r="I24" s="15"/>
    </row>
    <row r="25" spans="1:9" x14ac:dyDescent="0.25">
      <c r="A25" s="11">
        <v>23</v>
      </c>
      <c r="B25" s="11">
        <f t="shared" si="0"/>
        <v>4</v>
      </c>
      <c r="C25" s="12"/>
      <c r="D25" s="13"/>
      <c r="E25" s="14"/>
      <c r="F25" s="14"/>
      <c r="G25" s="13"/>
      <c r="H25" s="13"/>
      <c r="I25" s="15"/>
    </row>
    <row r="26" spans="1:9" x14ac:dyDescent="0.25">
      <c r="A26" s="11">
        <v>24</v>
      </c>
      <c r="B26" s="11">
        <f t="shared" si="0"/>
        <v>4</v>
      </c>
      <c r="C26" s="12"/>
      <c r="D26" s="13"/>
      <c r="E26" s="14"/>
      <c r="F26" s="14"/>
      <c r="G26" s="13"/>
      <c r="H26" s="13"/>
      <c r="I26" s="15"/>
    </row>
    <row r="27" spans="1:9" x14ac:dyDescent="0.25">
      <c r="A27" s="11">
        <v>25</v>
      </c>
      <c r="B27" s="11">
        <f t="shared" si="0"/>
        <v>4</v>
      </c>
      <c r="C27" s="12"/>
      <c r="D27" s="13"/>
      <c r="E27" s="14"/>
      <c r="F27" s="14"/>
      <c r="G27" s="13"/>
      <c r="H27" s="13"/>
      <c r="I27" s="15"/>
    </row>
    <row r="28" spans="1:9" x14ac:dyDescent="0.25">
      <c r="A28" s="11">
        <v>26</v>
      </c>
      <c r="B28" s="11">
        <f t="shared" si="0"/>
        <v>4</v>
      </c>
      <c r="C28" s="12"/>
      <c r="D28" s="13"/>
      <c r="E28" s="14"/>
      <c r="F28" s="14"/>
      <c r="G28" s="13"/>
      <c r="H28" s="13"/>
      <c r="I28" s="15"/>
    </row>
    <row r="29" spans="1:9" x14ac:dyDescent="0.25">
      <c r="A29" s="11">
        <v>27</v>
      </c>
      <c r="B29" s="11">
        <f t="shared" si="0"/>
        <v>4</v>
      </c>
      <c r="C29" s="12"/>
      <c r="D29" s="13"/>
      <c r="E29" s="14"/>
      <c r="F29" s="14"/>
      <c r="G29" s="13"/>
      <c r="H29" s="13"/>
      <c r="I29" s="15"/>
    </row>
    <row r="30" spans="1:9" x14ac:dyDescent="0.25">
      <c r="A30" s="11">
        <v>28</v>
      </c>
      <c r="B30" s="11">
        <f t="shared" si="0"/>
        <v>4</v>
      </c>
      <c r="C30" s="12"/>
      <c r="D30" s="13"/>
      <c r="E30" s="14"/>
      <c r="F30" s="14"/>
      <c r="G30" s="13"/>
      <c r="H30" s="13"/>
      <c r="I30" s="15"/>
    </row>
    <row r="31" spans="1:9" x14ac:dyDescent="0.25">
      <c r="A31" s="11">
        <v>29</v>
      </c>
      <c r="B31" s="11">
        <f t="shared" si="0"/>
        <v>5</v>
      </c>
      <c r="C31" s="12"/>
      <c r="D31" s="13"/>
      <c r="E31" s="14"/>
      <c r="F31" s="14"/>
      <c r="G31" s="13"/>
      <c r="H31" s="13"/>
      <c r="I31" s="15"/>
    </row>
    <row r="32" spans="1:9" x14ac:dyDescent="0.25">
      <c r="A32" s="11">
        <v>30</v>
      </c>
      <c r="B32" s="11">
        <f t="shared" si="0"/>
        <v>5</v>
      </c>
      <c r="C32" s="12"/>
      <c r="D32" s="13"/>
      <c r="E32" s="14"/>
      <c r="F32" s="14"/>
      <c r="G32" s="13"/>
      <c r="H32" s="13"/>
      <c r="I32" s="15"/>
    </row>
    <row r="33" spans="1:9" x14ac:dyDescent="0.25">
      <c r="A33" s="11">
        <v>31</v>
      </c>
      <c r="B33" s="11">
        <f t="shared" si="0"/>
        <v>5</v>
      </c>
      <c r="C33" s="12"/>
      <c r="D33" s="13"/>
      <c r="E33" s="14"/>
      <c r="F33" s="14"/>
      <c r="G33" s="13"/>
      <c r="H33" s="13"/>
      <c r="I33" s="15"/>
    </row>
    <row r="34" spans="1:9" x14ac:dyDescent="0.25">
      <c r="A34" s="11">
        <v>32</v>
      </c>
      <c r="B34" s="11">
        <f t="shared" si="0"/>
        <v>5</v>
      </c>
      <c r="C34" s="12"/>
      <c r="D34" s="13"/>
      <c r="E34" s="14"/>
      <c r="F34" s="14"/>
      <c r="G34" s="13"/>
      <c r="H34" s="13"/>
      <c r="I34" s="15"/>
    </row>
    <row r="35" spans="1:9" x14ac:dyDescent="0.25">
      <c r="A35" s="11">
        <v>33</v>
      </c>
      <c r="B35" s="11">
        <f t="shared" ref="B35:B66" si="1">ROUNDUP(A35/7,0)</f>
        <v>5</v>
      </c>
      <c r="C35" s="12"/>
      <c r="D35" s="13"/>
      <c r="E35" s="14"/>
      <c r="F35" s="14"/>
      <c r="G35" s="13"/>
      <c r="H35" s="13"/>
      <c r="I35" s="15"/>
    </row>
    <row r="36" spans="1:9" x14ac:dyDescent="0.25">
      <c r="A36" s="11">
        <v>34</v>
      </c>
      <c r="B36" s="11">
        <f t="shared" si="1"/>
        <v>5</v>
      </c>
      <c r="C36" s="12"/>
      <c r="D36" s="13"/>
      <c r="E36" s="14"/>
      <c r="F36" s="14"/>
      <c r="G36" s="13"/>
      <c r="H36" s="13"/>
      <c r="I36" s="15"/>
    </row>
    <row r="37" spans="1:9" x14ac:dyDescent="0.25">
      <c r="A37" s="11">
        <v>35</v>
      </c>
      <c r="B37" s="11">
        <f t="shared" si="1"/>
        <v>5</v>
      </c>
      <c r="C37" s="12"/>
      <c r="D37" s="13"/>
      <c r="E37" s="14"/>
      <c r="F37" s="14"/>
      <c r="G37" s="13"/>
      <c r="H37" s="13"/>
      <c r="I37" s="15"/>
    </row>
    <row r="38" spans="1:9" x14ac:dyDescent="0.25">
      <c r="A38" s="11">
        <v>36</v>
      </c>
      <c r="B38" s="11">
        <f t="shared" si="1"/>
        <v>6</v>
      </c>
      <c r="C38" s="12"/>
      <c r="D38" s="13"/>
      <c r="E38" s="14"/>
      <c r="F38" s="14"/>
      <c r="G38" s="13"/>
      <c r="H38" s="13"/>
      <c r="I38" s="15"/>
    </row>
    <row r="39" spans="1:9" x14ac:dyDescent="0.25">
      <c r="A39" s="11">
        <v>37</v>
      </c>
      <c r="B39" s="11">
        <f t="shared" si="1"/>
        <v>6</v>
      </c>
      <c r="C39" s="12"/>
      <c r="D39" s="13"/>
      <c r="E39" s="14"/>
      <c r="F39" s="14"/>
      <c r="G39" s="13"/>
      <c r="H39" s="13"/>
      <c r="I39" s="15"/>
    </row>
    <row r="40" spans="1:9" x14ac:dyDescent="0.25">
      <c r="A40" s="11">
        <v>38</v>
      </c>
      <c r="B40" s="11">
        <f t="shared" si="1"/>
        <v>6</v>
      </c>
      <c r="C40" s="12"/>
      <c r="D40" s="13"/>
      <c r="E40" s="14"/>
      <c r="F40" s="14"/>
      <c r="G40" s="13"/>
      <c r="H40" s="13"/>
      <c r="I40" s="15"/>
    </row>
    <row r="41" spans="1:9" x14ac:dyDescent="0.25">
      <c r="A41" s="11">
        <v>39</v>
      </c>
      <c r="B41" s="11">
        <f t="shared" si="1"/>
        <v>6</v>
      </c>
      <c r="C41" s="12"/>
      <c r="D41" s="13"/>
      <c r="E41" s="14"/>
      <c r="F41" s="14"/>
      <c r="G41" s="13"/>
      <c r="H41" s="13"/>
      <c r="I41" s="15"/>
    </row>
    <row r="42" spans="1:9" x14ac:dyDescent="0.25">
      <c r="A42" s="11">
        <v>40</v>
      </c>
      <c r="B42" s="11">
        <f t="shared" si="1"/>
        <v>6</v>
      </c>
      <c r="C42" s="12"/>
      <c r="D42" s="13"/>
      <c r="E42" s="14"/>
      <c r="F42" s="14"/>
      <c r="G42" s="13"/>
      <c r="H42" s="13"/>
      <c r="I42" s="15"/>
    </row>
    <row r="43" spans="1:9" x14ac:dyDescent="0.25">
      <c r="A43" s="11">
        <v>41</v>
      </c>
      <c r="B43" s="11">
        <f t="shared" si="1"/>
        <v>6</v>
      </c>
      <c r="C43" s="12"/>
      <c r="D43" s="13"/>
      <c r="E43" s="14"/>
      <c r="F43" s="14"/>
      <c r="G43" s="13"/>
      <c r="H43" s="13"/>
      <c r="I43" s="15"/>
    </row>
    <row r="44" spans="1:9" x14ac:dyDescent="0.25">
      <c r="A44" s="11">
        <v>42</v>
      </c>
      <c r="B44" s="11">
        <f t="shared" si="1"/>
        <v>6</v>
      </c>
      <c r="C44" s="12"/>
      <c r="D44" s="13"/>
      <c r="E44" s="14"/>
      <c r="F44" s="14"/>
      <c r="G44" s="13"/>
      <c r="H44" s="13"/>
      <c r="I44" s="15"/>
    </row>
    <row r="45" spans="1:9" x14ac:dyDescent="0.25">
      <c r="A45" s="11">
        <v>43</v>
      </c>
      <c r="B45" s="11">
        <f t="shared" si="1"/>
        <v>7</v>
      </c>
      <c r="C45" s="12"/>
      <c r="D45" s="13"/>
      <c r="E45" s="14"/>
      <c r="F45" s="14"/>
      <c r="G45" s="13"/>
      <c r="H45" s="13"/>
      <c r="I45" s="15"/>
    </row>
    <row r="46" spans="1:9" x14ac:dyDescent="0.25">
      <c r="A46" s="11">
        <v>44</v>
      </c>
      <c r="B46" s="11">
        <f t="shared" si="1"/>
        <v>7</v>
      </c>
      <c r="C46" s="12"/>
      <c r="D46" s="13"/>
      <c r="E46" s="14"/>
      <c r="F46" s="14"/>
      <c r="G46" s="13"/>
      <c r="H46" s="13"/>
      <c r="I46" s="15"/>
    </row>
    <row r="47" spans="1:9" x14ac:dyDescent="0.25">
      <c r="A47" s="11">
        <v>45</v>
      </c>
      <c r="B47" s="11">
        <f t="shared" si="1"/>
        <v>7</v>
      </c>
      <c r="C47" s="12"/>
      <c r="D47" s="13"/>
      <c r="E47" s="14"/>
      <c r="F47" s="14"/>
      <c r="G47" s="13"/>
      <c r="H47" s="13"/>
      <c r="I47" s="15"/>
    </row>
    <row r="48" spans="1:9" x14ac:dyDescent="0.25">
      <c r="A48" s="11">
        <v>46</v>
      </c>
      <c r="B48" s="11">
        <f t="shared" si="1"/>
        <v>7</v>
      </c>
      <c r="C48" s="12"/>
      <c r="D48" s="13"/>
      <c r="E48" s="14"/>
      <c r="F48" s="14"/>
      <c r="G48" s="13"/>
      <c r="H48" s="13"/>
      <c r="I48" s="15"/>
    </row>
    <row r="49" spans="1:9" x14ac:dyDescent="0.25">
      <c r="A49" s="11">
        <v>47</v>
      </c>
      <c r="B49" s="11">
        <f t="shared" si="1"/>
        <v>7</v>
      </c>
      <c r="C49" s="12"/>
      <c r="D49" s="13"/>
      <c r="E49" s="14"/>
      <c r="F49" s="14"/>
      <c r="G49" s="13"/>
      <c r="H49" s="13"/>
      <c r="I49" s="15"/>
    </row>
    <row r="50" spans="1:9" x14ac:dyDescent="0.25">
      <c r="A50" s="11">
        <v>48</v>
      </c>
      <c r="B50" s="11">
        <f t="shared" si="1"/>
        <v>7</v>
      </c>
      <c r="C50" s="12"/>
      <c r="D50" s="13"/>
      <c r="E50" s="14"/>
      <c r="F50" s="14"/>
      <c r="G50" s="13"/>
      <c r="H50" s="13"/>
      <c r="I50" s="15"/>
    </row>
    <row r="51" spans="1:9" x14ac:dyDescent="0.25">
      <c r="A51" s="11">
        <v>49</v>
      </c>
      <c r="B51" s="11">
        <f t="shared" si="1"/>
        <v>7</v>
      </c>
      <c r="C51" s="12"/>
      <c r="D51" s="13"/>
      <c r="E51" s="14"/>
      <c r="F51" s="14"/>
      <c r="G51" s="13"/>
      <c r="H51" s="13"/>
      <c r="I51" s="15"/>
    </row>
    <row r="52" spans="1:9" x14ac:dyDescent="0.25">
      <c r="A52" s="11">
        <v>50</v>
      </c>
      <c r="B52" s="11">
        <f t="shared" si="1"/>
        <v>8</v>
      </c>
      <c r="C52" s="12"/>
      <c r="D52" s="13"/>
      <c r="E52" s="14"/>
      <c r="F52" s="14"/>
      <c r="G52" s="13"/>
      <c r="H52" s="13"/>
      <c r="I52" s="15"/>
    </row>
    <row r="53" spans="1:9" x14ac:dyDescent="0.25">
      <c r="A53" s="11">
        <v>51</v>
      </c>
      <c r="B53" s="11">
        <f t="shared" si="1"/>
        <v>8</v>
      </c>
      <c r="C53" s="12"/>
      <c r="D53" s="13"/>
      <c r="E53" s="14"/>
      <c r="F53" s="14"/>
      <c r="G53" s="13"/>
      <c r="H53" s="13"/>
      <c r="I53" s="15"/>
    </row>
    <row r="54" spans="1:9" x14ac:dyDescent="0.25">
      <c r="A54" s="11">
        <v>52</v>
      </c>
      <c r="B54" s="11">
        <f t="shared" si="1"/>
        <v>8</v>
      </c>
      <c r="C54" s="12"/>
      <c r="D54" s="13"/>
      <c r="E54" s="14"/>
      <c r="F54" s="14"/>
      <c r="G54" s="13"/>
      <c r="H54" s="13"/>
      <c r="I54" s="15"/>
    </row>
    <row r="55" spans="1:9" x14ac:dyDescent="0.25">
      <c r="A55" s="11">
        <v>53</v>
      </c>
      <c r="B55" s="11">
        <f t="shared" si="1"/>
        <v>8</v>
      </c>
      <c r="C55" s="12"/>
      <c r="D55" s="13"/>
      <c r="E55" s="14"/>
      <c r="F55" s="14"/>
      <c r="G55" s="13"/>
      <c r="H55" s="13"/>
      <c r="I55" s="15"/>
    </row>
    <row r="56" spans="1:9" x14ac:dyDescent="0.25">
      <c r="A56" s="11">
        <v>54</v>
      </c>
      <c r="B56" s="11">
        <f t="shared" si="1"/>
        <v>8</v>
      </c>
      <c r="C56" s="12"/>
      <c r="D56" s="13"/>
      <c r="E56" s="14"/>
      <c r="F56" s="14"/>
      <c r="G56" s="13"/>
      <c r="H56" s="13"/>
      <c r="I56" s="15"/>
    </row>
    <row r="57" spans="1:9" x14ac:dyDescent="0.25">
      <c r="A57" s="11">
        <v>55</v>
      </c>
      <c r="B57" s="11">
        <f t="shared" si="1"/>
        <v>8</v>
      </c>
      <c r="C57" s="12"/>
      <c r="D57" s="13"/>
      <c r="E57" s="14"/>
      <c r="F57" s="14"/>
      <c r="G57" s="13"/>
      <c r="H57" s="13"/>
      <c r="I57" s="15"/>
    </row>
    <row r="58" spans="1:9" x14ac:dyDescent="0.25">
      <c r="A58" s="11">
        <v>56</v>
      </c>
      <c r="B58" s="11">
        <f t="shared" si="1"/>
        <v>8</v>
      </c>
      <c r="C58" s="12"/>
      <c r="D58" s="13"/>
      <c r="E58" s="14"/>
      <c r="F58" s="14"/>
      <c r="G58" s="13"/>
      <c r="H58" s="13"/>
      <c r="I58" s="15"/>
    </row>
    <row r="59" spans="1:9" x14ac:dyDescent="0.25">
      <c r="A59" s="11">
        <v>57</v>
      </c>
      <c r="B59" s="11">
        <f t="shared" si="1"/>
        <v>9</v>
      </c>
      <c r="C59" s="12"/>
      <c r="D59" s="13"/>
      <c r="E59" s="14"/>
      <c r="F59" s="14"/>
      <c r="G59" s="13"/>
      <c r="H59" s="13"/>
      <c r="I59" s="15"/>
    </row>
    <row r="60" spans="1:9" x14ac:dyDescent="0.25">
      <c r="A60" s="11">
        <v>58</v>
      </c>
      <c r="B60" s="11">
        <f t="shared" si="1"/>
        <v>9</v>
      </c>
      <c r="C60" s="12"/>
      <c r="D60" s="13"/>
      <c r="E60" s="14"/>
      <c r="F60" s="14"/>
      <c r="G60" s="13"/>
      <c r="H60" s="13"/>
      <c r="I60" s="15"/>
    </row>
    <row r="61" spans="1:9" x14ac:dyDescent="0.25">
      <c r="A61" s="11">
        <v>59</v>
      </c>
      <c r="B61" s="11">
        <f t="shared" si="1"/>
        <v>9</v>
      </c>
      <c r="C61" s="12"/>
      <c r="D61" s="13"/>
      <c r="E61" s="14"/>
      <c r="F61" s="14"/>
      <c r="G61" s="13"/>
      <c r="H61" s="13"/>
      <c r="I61" s="15"/>
    </row>
    <row r="62" spans="1:9" x14ac:dyDescent="0.25">
      <c r="A62" s="11">
        <v>60</v>
      </c>
      <c r="B62" s="11">
        <f t="shared" si="1"/>
        <v>9</v>
      </c>
      <c r="C62" s="12"/>
      <c r="D62" s="13"/>
      <c r="E62" s="14"/>
      <c r="F62" s="14"/>
      <c r="G62" s="13"/>
      <c r="H62" s="13"/>
      <c r="I62" s="15"/>
    </row>
    <row r="63" spans="1:9" x14ac:dyDescent="0.25">
      <c r="A63" s="11">
        <v>61</v>
      </c>
      <c r="B63" s="11">
        <f t="shared" si="1"/>
        <v>9</v>
      </c>
      <c r="C63" s="12"/>
      <c r="D63" s="13"/>
      <c r="E63" s="14"/>
      <c r="F63" s="14"/>
      <c r="G63" s="13"/>
      <c r="H63" s="13"/>
      <c r="I63" s="15"/>
    </row>
    <row r="64" spans="1:9" x14ac:dyDescent="0.25">
      <c r="A64" s="11">
        <v>62</v>
      </c>
      <c r="B64" s="11">
        <f t="shared" si="1"/>
        <v>9</v>
      </c>
      <c r="C64" s="12"/>
      <c r="D64" s="13"/>
      <c r="E64" s="14"/>
      <c r="F64" s="14"/>
      <c r="G64" s="13"/>
      <c r="H64" s="13"/>
      <c r="I64" s="15"/>
    </row>
    <row r="65" spans="1:9" x14ac:dyDescent="0.25">
      <c r="A65" s="11">
        <v>63</v>
      </c>
      <c r="B65" s="11">
        <f t="shared" si="1"/>
        <v>9</v>
      </c>
      <c r="C65" s="12"/>
      <c r="D65" s="13"/>
      <c r="E65" s="14"/>
      <c r="F65" s="14"/>
      <c r="G65" s="13"/>
      <c r="H65" s="13"/>
      <c r="I65" s="15"/>
    </row>
    <row r="66" spans="1:9" x14ac:dyDescent="0.25">
      <c r="A66" s="11">
        <v>64</v>
      </c>
      <c r="B66" s="11">
        <f t="shared" si="1"/>
        <v>10</v>
      </c>
      <c r="C66" s="12"/>
      <c r="D66" s="13"/>
      <c r="E66" s="14"/>
      <c r="F66" s="14"/>
      <c r="G66" s="13"/>
      <c r="H66" s="13"/>
      <c r="I66" s="15"/>
    </row>
    <row r="67" spans="1:9" x14ac:dyDescent="0.25">
      <c r="A67" s="11">
        <v>65</v>
      </c>
      <c r="B67" s="11">
        <f t="shared" ref="B67:B92" si="2">ROUNDUP(A67/7,0)</f>
        <v>10</v>
      </c>
      <c r="C67" s="12"/>
      <c r="D67" s="13"/>
      <c r="E67" s="14"/>
      <c r="F67" s="14"/>
      <c r="G67" s="13"/>
      <c r="H67" s="13"/>
      <c r="I67" s="15"/>
    </row>
    <row r="68" spans="1:9" x14ac:dyDescent="0.25">
      <c r="A68" s="11">
        <v>66</v>
      </c>
      <c r="B68" s="11">
        <f t="shared" si="2"/>
        <v>10</v>
      </c>
      <c r="C68" s="12"/>
      <c r="D68" s="13"/>
      <c r="E68" s="14"/>
      <c r="F68" s="14"/>
      <c r="G68" s="13"/>
      <c r="H68" s="13"/>
      <c r="I68" s="15"/>
    </row>
    <row r="69" spans="1:9" x14ac:dyDescent="0.25">
      <c r="A69" s="11">
        <v>67</v>
      </c>
      <c r="B69" s="11">
        <f t="shared" si="2"/>
        <v>10</v>
      </c>
      <c r="C69" s="12"/>
      <c r="D69" s="13"/>
      <c r="E69" s="14"/>
      <c r="F69" s="14"/>
      <c r="G69" s="13"/>
      <c r="H69" s="13"/>
      <c r="I69" s="15"/>
    </row>
    <row r="70" spans="1:9" x14ac:dyDescent="0.25">
      <c r="A70" s="11">
        <v>68</v>
      </c>
      <c r="B70" s="11">
        <f t="shared" si="2"/>
        <v>10</v>
      </c>
      <c r="C70" s="12"/>
      <c r="D70" s="13"/>
      <c r="E70" s="14"/>
      <c r="F70" s="14"/>
      <c r="G70" s="13"/>
      <c r="H70" s="13"/>
      <c r="I70" s="15"/>
    </row>
    <row r="71" spans="1:9" x14ac:dyDescent="0.25">
      <c r="A71" s="11">
        <v>69</v>
      </c>
      <c r="B71" s="11">
        <f t="shared" si="2"/>
        <v>10</v>
      </c>
      <c r="C71" s="12"/>
      <c r="D71" s="13"/>
      <c r="E71" s="14"/>
      <c r="F71" s="14"/>
      <c r="G71" s="13"/>
      <c r="H71" s="13"/>
      <c r="I71" s="15"/>
    </row>
    <row r="72" spans="1:9" x14ac:dyDescent="0.25">
      <c r="A72" s="11">
        <v>70</v>
      </c>
      <c r="B72" s="11">
        <f t="shared" si="2"/>
        <v>10</v>
      </c>
      <c r="C72" s="12"/>
      <c r="D72" s="13"/>
      <c r="E72" s="14"/>
      <c r="F72" s="14"/>
      <c r="G72" s="13"/>
      <c r="H72" s="13"/>
      <c r="I72" s="15"/>
    </row>
    <row r="73" spans="1:9" x14ac:dyDescent="0.25">
      <c r="A73" s="11">
        <v>71</v>
      </c>
      <c r="B73" s="11">
        <f t="shared" si="2"/>
        <v>11</v>
      </c>
      <c r="C73" s="12"/>
      <c r="D73" s="13"/>
      <c r="E73" s="14"/>
      <c r="F73" s="14"/>
      <c r="G73" s="13"/>
      <c r="H73" s="13"/>
      <c r="I73" s="15"/>
    </row>
    <row r="74" spans="1:9" x14ac:dyDescent="0.25">
      <c r="A74" s="11">
        <v>72</v>
      </c>
      <c r="B74" s="11">
        <f t="shared" si="2"/>
        <v>11</v>
      </c>
      <c r="C74" s="12"/>
      <c r="D74" s="13"/>
      <c r="E74" s="14"/>
      <c r="F74" s="14"/>
      <c r="G74" s="13"/>
      <c r="H74" s="13"/>
      <c r="I74" s="15"/>
    </row>
    <row r="75" spans="1:9" x14ac:dyDescent="0.25">
      <c r="A75" s="11">
        <v>73</v>
      </c>
      <c r="B75" s="11">
        <f t="shared" si="2"/>
        <v>11</v>
      </c>
      <c r="C75" s="12"/>
      <c r="D75" s="13"/>
      <c r="E75" s="14"/>
      <c r="F75" s="14"/>
      <c r="G75" s="13"/>
      <c r="H75" s="13"/>
      <c r="I75" s="15"/>
    </row>
    <row r="76" spans="1:9" x14ac:dyDescent="0.25">
      <c r="A76" s="11">
        <v>74</v>
      </c>
      <c r="B76" s="11">
        <f t="shared" si="2"/>
        <v>11</v>
      </c>
      <c r="C76" s="12"/>
      <c r="D76" s="13"/>
      <c r="E76" s="14"/>
      <c r="F76" s="14"/>
      <c r="G76" s="13"/>
      <c r="H76" s="13"/>
      <c r="I76" s="15"/>
    </row>
    <row r="77" spans="1:9" x14ac:dyDescent="0.25">
      <c r="A77" s="11">
        <v>75</v>
      </c>
      <c r="B77" s="11">
        <f t="shared" si="2"/>
        <v>11</v>
      </c>
      <c r="C77" s="12"/>
      <c r="D77" s="13"/>
      <c r="E77" s="14"/>
      <c r="F77" s="14"/>
      <c r="G77" s="13"/>
      <c r="H77" s="13"/>
      <c r="I77" s="15"/>
    </row>
    <row r="78" spans="1:9" x14ac:dyDescent="0.25">
      <c r="A78" s="11">
        <v>76</v>
      </c>
      <c r="B78" s="11">
        <f t="shared" si="2"/>
        <v>11</v>
      </c>
      <c r="C78" s="12"/>
      <c r="D78" s="13"/>
      <c r="E78" s="14"/>
      <c r="F78" s="14"/>
      <c r="G78" s="13"/>
      <c r="H78" s="13"/>
      <c r="I78" s="15"/>
    </row>
    <row r="79" spans="1:9" x14ac:dyDescent="0.25">
      <c r="A79" s="11">
        <v>77</v>
      </c>
      <c r="B79" s="11">
        <f t="shared" si="2"/>
        <v>11</v>
      </c>
      <c r="C79" s="12"/>
      <c r="D79" s="13"/>
      <c r="E79" s="14"/>
      <c r="F79" s="14"/>
      <c r="G79" s="13"/>
      <c r="H79" s="13"/>
      <c r="I79" s="15"/>
    </row>
    <row r="80" spans="1:9" x14ac:dyDescent="0.25">
      <c r="A80" s="11">
        <v>78</v>
      </c>
      <c r="B80" s="11">
        <f t="shared" si="2"/>
        <v>12</v>
      </c>
      <c r="C80" s="12"/>
      <c r="D80" s="13"/>
      <c r="E80" s="14"/>
      <c r="F80" s="14"/>
      <c r="G80" s="13"/>
      <c r="H80" s="13"/>
      <c r="I80" s="15"/>
    </row>
    <row r="81" spans="1:9" x14ac:dyDescent="0.25">
      <c r="A81" s="11">
        <v>79</v>
      </c>
      <c r="B81" s="11">
        <f t="shared" si="2"/>
        <v>12</v>
      </c>
      <c r="C81" s="12"/>
      <c r="D81" s="13"/>
      <c r="E81" s="14"/>
      <c r="F81" s="14"/>
      <c r="G81" s="13"/>
      <c r="H81" s="13"/>
      <c r="I81" s="15"/>
    </row>
    <row r="82" spans="1:9" x14ac:dyDescent="0.25">
      <c r="A82" s="11">
        <v>80</v>
      </c>
      <c r="B82" s="11">
        <f t="shared" si="2"/>
        <v>12</v>
      </c>
      <c r="C82" s="12"/>
      <c r="D82" s="13"/>
      <c r="E82" s="14"/>
      <c r="F82" s="14"/>
      <c r="G82" s="13"/>
      <c r="H82" s="13"/>
      <c r="I82" s="15"/>
    </row>
    <row r="83" spans="1:9" x14ac:dyDescent="0.25">
      <c r="A83" s="11">
        <v>81</v>
      </c>
      <c r="B83" s="11">
        <f t="shared" si="2"/>
        <v>12</v>
      </c>
      <c r="C83" s="12"/>
      <c r="D83" s="13"/>
      <c r="E83" s="14"/>
      <c r="F83" s="14"/>
      <c r="G83" s="13"/>
      <c r="H83" s="13"/>
      <c r="I83" s="15"/>
    </row>
    <row r="84" spans="1:9" x14ac:dyDescent="0.25">
      <c r="A84" s="11">
        <v>82</v>
      </c>
      <c r="B84" s="11">
        <f t="shared" si="2"/>
        <v>12</v>
      </c>
      <c r="C84" s="12"/>
      <c r="D84" s="13"/>
      <c r="E84" s="14"/>
      <c r="F84" s="14"/>
      <c r="G84" s="13"/>
      <c r="H84" s="13"/>
      <c r="I84" s="15"/>
    </row>
    <row r="85" spans="1:9" x14ac:dyDescent="0.25">
      <c r="A85" s="11">
        <v>83</v>
      </c>
      <c r="B85" s="11">
        <f t="shared" si="2"/>
        <v>12</v>
      </c>
      <c r="C85" s="12"/>
      <c r="D85" s="13"/>
      <c r="E85" s="14"/>
      <c r="F85" s="14"/>
      <c r="G85" s="13"/>
      <c r="H85" s="13"/>
      <c r="I85" s="15"/>
    </row>
    <row r="86" spans="1:9" x14ac:dyDescent="0.25">
      <c r="A86" s="11">
        <v>84</v>
      </c>
      <c r="B86" s="11">
        <f t="shared" si="2"/>
        <v>12</v>
      </c>
      <c r="C86" s="12"/>
      <c r="D86" s="13"/>
      <c r="E86" s="14"/>
      <c r="F86" s="14"/>
      <c r="G86" s="13"/>
      <c r="H86" s="13"/>
      <c r="I86" s="15"/>
    </row>
    <row r="87" spans="1:9" x14ac:dyDescent="0.25">
      <c r="A87" s="11">
        <v>85</v>
      </c>
      <c r="B87" s="11">
        <f t="shared" si="2"/>
        <v>13</v>
      </c>
      <c r="C87" s="12"/>
      <c r="D87" s="13"/>
      <c r="E87" s="14"/>
      <c r="F87" s="14"/>
      <c r="G87" s="13"/>
      <c r="H87" s="13"/>
      <c r="I87" s="15"/>
    </row>
    <row r="88" spans="1:9" x14ac:dyDescent="0.25">
      <c r="A88" s="11">
        <v>86</v>
      </c>
      <c r="B88" s="11">
        <f t="shared" si="2"/>
        <v>13</v>
      </c>
      <c r="C88" s="12"/>
      <c r="D88" s="13"/>
      <c r="E88" s="14"/>
      <c r="F88" s="14"/>
      <c r="G88" s="13"/>
      <c r="H88" s="13"/>
      <c r="I88" s="15"/>
    </row>
    <row r="89" spans="1:9" x14ac:dyDescent="0.25">
      <c r="A89" s="11">
        <v>87</v>
      </c>
      <c r="B89" s="11">
        <f t="shared" si="2"/>
        <v>13</v>
      </c>
      <c r="C89" s="12"/>
      <c r="D89" s="13"/>
      <c r="E89" s="14"/>
      <c r="F89" s="14"/>
      <c r="G89" s="13"/>
      <c r="H89" s="13"/>
      <c r="I89" s="15"/>
    </row>
    <row r="90" spans="1:9" x14ac:dyDescent="0.25">
      <c r="A90" s="11">
        <v>88</v>
      </c>
      <c r="B90" s="11">
        <f t="shared" si="2"/>
        <v>13</v>
      </c>
      <c r="C90" s="12"/>
      <c r="D90" s="13"/>
      <c r="E90" s="14"/>
      <c r="F90" s="14"/>
      <c r="G90" s="13"/>
      <c r="H90" s="13"/>
      <c r="I90" s="15"/>
    </row>
    <row r="91" spans="1:9" x14ac:dyDescent="0.25">
      <c r="A91" s="11">
        <v>89</v>
      </c>
      <c r="B91" s="11">
        <f t="shared" si="2"/>
        <v>13</v>
      </c>
      <c r="C91" s="12"/>
      <c r="D91" s="13"/>
      <c r="E91" s="14"/>
      <c r="F91" s="14"/>
      <c r="G91" s="13"/>
      <c r="H91" s="13"/>
      <c r="I91" s="15"/>
    </row>
    <row r="92" spans="1:9" x14ac:dyDescent="0.25">
      <c r="A92" s="11">
        <v>90</v>
      </c>
      <c r="B92" s="11">
        <f t="shared" si="2"/>
        <v>13</v>
      </c>
      <c r="C92" s="12"/>
      <c r="D92" s="13"/>
      <c r="E92" s="14"/>
      <c r="F92" s="14"/>
      <c r="G92" s="13"/>
      <c r="H92" s="13"/>
      <c r="I92" s="15"/>
    </row>
  </sheetData>
  <mergeCells count="1">
    <mergeCell ref="A1:I1"/>
  </mergeCells>
  <dataValidations count="3">
    <dataValidation type="list" allowBlank="1" sqref="D3:D92" xr:uid="{00000000-0002-0000-0200-000000000000}">
      <formula1>"Sim,Não"</formula1>
      <formula2>0</formula2>
    </dataValidation>
    <dataValidation type="whole" allowBlank="1" sqref="G3:G92" xr:uid="{00000000-0002-0000-0200-000001000000}">
      <formula1>1</formula1>
      <formula2>5</formula2>
    </dataValidation>
    <dataValidation type="whole" allowBlank="1" sqref="H3:H92" xr:uid="{00000000-0002-0000-0200-000002000000}">
      <formula1>1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tabSelected="1" topLeftCell="E1" zoomScaleNormal="100" workbookViewId="0">
      <pane ySplit="2" topLeftCell="A3" activePane="bottomLeft" state="frozen"/>
      <selection pane="bottomLeft" activeCell="L3" sqref="L3"/>
    </sheetView>
  </sheetViews>
  <sheetFormatPr defaultColWidth="8.7109375" defaultRowHeight="15" x14ac:dyDescent="0.25"/>
  <cols>
    <col min="1" max="1" width="8" customWidth="1"/>
    <col min="2" max="2" width="9" customWidth="1"/>
    <col min="3" max="5" width="10" customWidth="1"/>
    <col min="6" max="8" width="9" customWidth="1"/>
    <col min="9" max="9" width="13" customWidth="1"/>
    <col min="10" max="11" width="11" customWidth="1"/>
    <col min="12" max="12" width="10" customWidth="1"/>
    <col min="13" max="13" width="12" customWidth="1"/>
    <col min="14" max="14" width="8" customWidth="1"/>
    <col min="15" max="15" width="32" customWidth="1"/>
  </cols>
  <sheetData>
    <row r="1" spans="1:15" ht="15.75" x14ac:dyDescent="0.25">
      <c r="A1" s="27" t="s">
        <v>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24" x14ac:dyDescent="0.25">
      <c r="A2" s="10" t="s">
        <v>24</v>
      </c>
      <c r="B2" s="10" t="s">
        <v>35</v>
      </c>
      <c r="C2" s="10" t="s">
        <v>36</v>
      </c>
      <c r="D2" s="10" t="s">
        <v>37</v>
      </c>
      <c r="E2" s="10" t="s">
        <v>38</v>
      </c>
      <c r="F2" s="10" t="s">
        <v>39</v>
      </c>
      <c r="G2" s="10" t="s">
        <v>40</v>
      </c>
      <c r="H2" s="10" t="s">
        <v>41</v>
      </c>
      <c r="I2" s="10" t="s">
        <v>42</v>
      </c>
      <c r="J2" s="10" t="s">
        <v>43</v>
      </c>
      <c r="K2" s="10" t="s">
        <v>16</v>
      </c>
      <c r="L2" s="10" t="s">
        <v>44</v>
      </c>
      <c r="M2" s="10" t="s">
        <v>13</v>
      </c>
      <c r="N2" s="10" t="s">
        <v>45</v>
      </c>
      <c r="O2" s="10" t="s">
        <v>46</v>
      </c>
    </row>
    <row r="3" spans="1:15" x14ac:dyDescent="0.25">
      <c r="A3" s="11">
        <v>1</v>
      </c>
      <c r="B3" s="14">
        <v>84</v>
      </c>
      <c r="C3" s="14">
        <v>96</v>
      </c>
      <c r="D3" s="14">
        <v>103</v>
      </c>
      <c r="E3" s="14">
        <v>104</v>
      </c>
      <c r="F3" s="14">
        <v>36.5</v>
      </c>
      <c r="G3" s="14">
        <v>58</v>
      </c>
      <c r="H3" s="14">
        <v>24.5</v>
      </c>
      <c r="I3" s="13" t="s">
        <v>47</v>
      </c>
      <c r="J3" s="16">
        <f>IFERROR(AVERAGEIFS(Diário!E:E,Diário!B:B,A3),"")</f>
        <v>2.8</v>
      </c>
      <c r="K3" s="16">
        <f>IFERROR(AVERAGEIFS(Diário!F:F,Diário!B:B,A3),"")</f>
        <v>7.5</v>
      </c>
      <c r="L3" s="16">
        <f>IFERROR(AVERAGEIFS(Diário!G:G,Diário!B:B,A3),"")</f>
        <v>4</v>
      </c>
      <c r="M3" s="17">
        <f>COUNTIFS(Diário!B:B,A3,Diário!D:D,"Sim")</f>
        <v>1</v>
      </c>
      <c r="N3" s="18">
        <f t="shared" ref="N3:N14" si="0">M3/7</f>
        <v>0.14285714285714285</v>
      </c>
      <c r="O3" s="15" t="s">
        <v>33</v>
      </c>
    </row>
    <row r="4" spans="1:15" x14ac:dyDescent="0.25">
      <c r="A4" s="11">
        <v>2</v>
      </c>
      <c r="B4" s="14"/>
      <c r="C4" s="14"/>
      <c r="D4" s="14"/>
      <c r="E4" s="14"/>
      <c r="F4" s="14"/>
      <c r="G4" s="14"/>
      <c r="H4" s="14"/>
      <c r="I4" s="13"/>
      <c r="J4" s="16" t="str">
        <f>IFERROR(AVERAGEIFS(Diário!E:E,Diário!B:B,A4),"")</f>
        <v/>
      </c>
      <c r="K4" s="16" t="str">
        <f>IFERROR(AVERAGEIFS(Diário!F:F,Diário!B:B,A4),"")</f>
        <v/>
      </c>
      <c r="L4" s="16" t="str">
        <f>IFERROR(AVERAGEIFS(Diário!G:G,Diário!B:B,A4),"")</f>
        <v/>
      </c>
      <c r="M4" s="17">
        <f>COUNTIFS(Diário!B:B,A4,Diário!D:D,"Sim")</f>
        <v>0</v>
      </c>
      <c r="N4" s="18">
        <f t="shared" si="0"/>
        <v>0</v>
      </c>
      <c r="O4" s="15"/>
    </row>
    <row r="5" spans="1:15" x14ac:dyDescent="0.25">
      <c r="A5" s="11">
        <v>3</v>
      </c>
      <c r="B5" s="14"/>
      <c r="C5" s="14"/>
      <c r="D5" s="14"/>
      <c r="E5" s="14"/>
      <c r="F5" s="14"/>
      <c r="G5" s="14"/>
      <c r="H5" s="14"/>
      <c r="I5" s="13"/>
      <c r="J5" s="16" t="str">
        <f>IFERROR(AVERAGEIFS(Diário!E:E,Diário!B:B,A5),"")</f>
        <v/>
      </c>
      <c r="K5" s="16" t="str">
        <f>IFERROR(AVERAGEIFS(Diário!F:F,Diário!B:B,A5),"")</f>
        <v/>
      </c>
      <c r="L5" s="16" t="str">
        <f>IFERROR(AVERAGEIFS(Diário!G:G,Diário!B:B,A5),"")</f>
        <v/>
      </c>
      <c r="M5" s="17">
        <f>COUNTIFS(Diário!B:B,A5,Diário!D:D,"Sim")</f>
        <v>0</v>
      </c>
      <c r="N5" s="18">
        <f t="shared" si="0"/>
        <v>0</v>
      </c>
      <c r="O5" s="15"/>
    </row>
    <row r="6" spans="1:15" x14ac:dyDescent="0.25">
      <c r="A6" s="11">
        <v>4</v>
      </c>
      <c r="B6" s="14"/>
      <c r="C6" s="14"/>
      <c r="D6" s="14"/>
      <c r="E6" s="14"/>
      <c r="F6" s="14"/>
      <c r="G6" s="14"/>
      <c r="H6" s="14"/>
      <c r="I6" s="13"/>
      <c r="J6" s="16" t="str">
        <f>IFERROR(AVERAGEIFS(Diário!E:E,Diário!B:B,A6),"")</f>
        <v/>
      </c>
      <c r="K6" s="16" t="str">
        <f>IFERROR(AVERAGEIFS(Diário!F:F,Diário!B:B,A6),"")</f>
        <v/>
      </c>
      <c r="L6" s="16" t="str">
        <f>IFERROR(AVERAGEIFS(Diário!G:G,Diário!B:B,A6),"")</f>
        <v/>
      </c>
      <c r="M6" s="17">
        <f>COUNTIFS(Diário!B:B,A6,Diário!D:D,"Sim")</f>
        <v>0</v>
      </c>
      <c r="N6" s="18">
        <f t="shared" si="0"/>
        <v>0</v>
      </c>
      <c r="O6" s="15"/>
    </row>
    <row r="7" spans="1:15" x14ac:dyDescent="0.25">
      <c r="A7" s="11">
        <v>5</v>
      </c>
      <c r="B7" s="14"/>
      <c r="C7" s="14"/>
      <c r="D7" s="14"/>
      <c r="E7" s="14"/>
      <c r="F7" s="14"/>
      <c r="G7" s="14"/>
      <c r="H7" s="14"/>
      <c r="I7" s="13"/>
      <c r="J7" s="16" t="str">
        <f>IFERROR(AVERAGEIFS(Diário!E:E,Diário!B:B,A7),"")</f>
        <v/>
      </c>
      <c r="K7" s="16" t="str">
        <f>IFERROR(AVERAGEIFS(Diário!F:F,Diário!B:B,A7),"")</f>
        <v/>
      </c>
      <c r="L7" s="16" t="str">
        <f>IFERROR(AVERAGEIFS(Diário!G:G,Diário!B:B,A7),"")</f>
        <v/>
      </c>
      <c r="M7" s="17">
        <f>COUNTIFS(Diário!B:B,A7,Diário!D:D,"Sim")</f>
        <v>0</v>
      </c>
      <c r="N7" s="18">
        <f t="shared" si="0"/>
        <v>0</v>
      </c>
      <c r="O7" s="15"/>
    </row>
    <row r="8" spans="1:15" x14ac:dyDescent="0.25">
      <c r="A8" s="11">
        <v>6</v>
      </c>
      <c r="B8" s="14"/>
      <c r="C8" s="14"/>
      <c r="D8" s="14"/>
      <c r="E8" s="14"/>
      <c r="F8" s="14"/>
      <c r="G8" s="14"/>
      <c r="H8" s="14"/>
      <c r="I8" s="13"/>
      <c r="J8" s="16" t="str">
        <f>IFERROR(AVERAGEIFS(Diário!E:E,Diário!B:B,A8),"")</f>
        <v/>
      </c>
      <c r="K8" s="16" t="str">
        <f>IFERROR(AVERAGEIFS(Diário!F:F,Diário!B:B,A8),"")</f>
        <v/>
      </c>
      <c r="L8" s="16" t="str">
        <f>IFERROR(AVERAGEIFS(Diário!G:G,Diário!B:B,A8),"")</f>
        <v/>
      </c>
      <c r="M8" s="17">
        <f>COUNTIFS(Diário!B:B,A8,Diário!D:D,"Sim")</f>
        <v>0</v>
      </c>
      <c r="N8" s="18">
        <f t="shared" si="0"/>
        <v>0</v>
      </c>
      <c r="O8" s="15"/>
    </row>
    <row r="9" spans="1:15" x14ac:dyDescent="0.25">
      <c r="A9" s="11">
        <v>7</v>
      </c>
      <c r="B9" s="14"/>
      <c r="C9" s="14"/>
      <c r="D9" s="14"/>
      <c r="E9" s="14"/>
      <c r="F9" s="14"/>
      <c r="G9" s="14"/>
      <c r="H9" s="14"/>
      <c r="I9" s="13"/>
      <c r="J9" s="16" t="str">
        <f>IFERROR(AVERAGEIFS(Diário!E:E,Diário!B:B,A9),"")</f>
        <v/>
      </c>
      <c r="K9" s="16" t="str">
        <f>IFERROR(AVERAGEIFS(Diário!F:F,Diário!B:B,A9),"")</f>
        <v/>
      </c>
      <c r="L9" s="16" t="str">
        <f>IFERROR(AVERAGEIFS(Diário!G:G,Diário!B:B,A9),"")</f>
        <v/>
      </c>
      <c r="M9" s="17">
        <f>COUNTIFS(Diário!B:B,A9,Diário!D:D,"Sim")</f>
        <v>0</v>
      </c>
      <c r="N9" s="18">
        <f t="shared" si="0"/>
        <v>0</v>
      </c>
      <c r="O9" s="15"/>
    </row>
    <row r="10" spans="1:15" x14ac:dyDescent="0.25">
      <c r="A10" s="11">
        <v>8</v>
      </c>
      <c r="B10" s="14"/>
      <c r="C10" s="14"/>
      <c r="D10" s="14"/>
      <c r="E10" s="14"/>
      <c r="F10" s="14"/>
      <c r="G10" s="14"/>
      <c r="H10" s="14"/>
      <c r="I10" s="13"/>
      <c r="J10" s="16" t="str">
        <f>IFERROR(AVERAGEIFS(Diário!E:E,Diário!B:B,A10),"")</f>
        <v/>
      </c>
      <c r="K10" s="16" t="str">
        <f>IFERROR(AVERAGEIFS(Diário!F:F,Diário!B:B,A10),"")</f>
        <v/>
      </c>
      <c r="L10" s="16" t="str">
        <f>IFERROR(AVERAGEIFS(Diário!G:G,Diário!B:B,A10),"")</f>
        <v/>
      </c>
      <c r="M10" s="17">
        <f>COUNTIFS(Diário!B:B,A10,Diário!D:D,"Sim")</f>
        <v>0</v>
      </c>
      <c r="N10" s="18">
        <f t="shared" si="0"/>
        <v>0</v>
      </c>
      <c r="O10" s="15"/>
    </row>
    <row r="11" spans="1:15" x14ac:dyDescent="0.25">
      <c r="A11" s="11">
        <v>9</v>
      </c>
      <c r="B11" s="14"/>
      <c r="C11" s="14"/>
      <c r="D11" s="14"/>
      <c r="E11" s="14"/>
      <c r="F11" s="14"/>
      <c r="G11" s="14"/>
      <c r="H11" s="14"/>
      <c r="I11" s="13"/>
      <c r="J11" s="16" t="str">
        <f>IFERROR(AVERAGEIFS(Diário!E:E,Diário!B:B,A11),"")</f>
        <v/>
      </c>
      <c r="K11" s="16" t="str">
        <f>IFERROR(AVERAGEIFS(Diário!F:F,Diário!B:B,A11),"")</f>
        <v/>
      </c>
      <c r="L11" s="16" t="str">
        <f>IFERROR(AVERAGEIFS(Diário!G:G,Diário!B:B,A11),"")</f>
        <v/>
      </c>
      <c r="M11" s="17">
        <f>COUNTIFS(Diário!B:B,A11,Diário!D:D,"Sim")</f>
        <v>0</v>
      </c>
      <c r="N11" s="18">
        <f t="shared" si="0"/>
        <v>0</v>
      </c>
      <c r="O11" s="15"/>
    </row>
    <row r="12" spans="1:15" x14ac:dyDescent="0.25">
      <c r="A12" s="11">
        <v>10</v>
      </c>
      <c r="B12" s="14"/>
      <c r="C12" s="14"/>
      <c r="D12" s="14"/>
      <c r="E12" s="14"/>
      <c r="F12" s="14"/>
      <c r="G12" s="14"/>
      <c r="H12" s="14"/>
      <c r="I12" s="13"/>
      <c r="J12" s="16" t="str">
        <f>IFERROR(AVERAGEIFS(Diário!E:E,Diário!B:B,A12),"")</f>
        <v/>
      </c>
      <c r="K12" s="16" t="str">
        <f>IFERROR(AVERAGEIFS(Diário!F:F,Diário!B:B,A12),"")</f>
        <v/>
      </c>
      <c r="L12" s="16" t="str">
        <f>IFERROR(AVERAGEIFS(Diário!G:G,Diário!B:B,A12),"")</f>
        <v/>
      </c>
      <c r="M12" s="17">
        <f>COUNTIFS(Diário!B:B,A12,Diário!D:D,"Sim")</f>
        <v>0</v>
      </c>
      <c r="N12" s="18">
        <f t="shared" si="0"/>
        <v>0</v>
      </c>
      <c r="O12" s="15"/>
    </row>
    <row r="13" spans="1:15" x14ac:dyDescent="0.25">
      <c r="A13" s="11">
        <v>11</v>
      </c>
      <c r="B13" s="14"/>
      <c r="C13" s="14"/>
      <c r="D13" s="14"/>
      <c r="E13" s="14"/>
      <c r="F13" s="14"/>
      <c r="G13" s="14"/>
      <c r="H13" s="14"/>
      <c r="I13" s="13"/>
      <c r="J13" s="16" t="str">
        <f>IFERROR(AVERAGEIFS(Diário!E:E,Diário!B:B,A13),"")</f>
        <v/>
      </c>
      <c r="K13" s="16" t="str">
        <f>IFERROR(AVERAGEIFS(Diário!F:F,Diário!B:B,A13),"")</f>
        <v/>
      </c>
      <c r="L13" s="16" t="str">
        <f>IFERROR(AVERAGEIFS(Diário!G:G,Diário!B:B,A13),"")</f>
        <v/>
      </c>
      <c r="M13" s="17">
        <f>COUNTIFS(Diário!B:B,A13,Diário!D:D,"Sim")</f>
        <v>0</v>
      </c>
      <c r="N13" s="18">
        <f t="shared" si="0"/>
        <v>0</v>
      </c>
      <c r="O13" s="15"/>
    </row>
    <row r="14" spans="1:15" x14ac:dyDescent="0.25">
      <c r="A14" s="11">
        <v>12</v>
      </c>
      <c r="B14" s="14"/>
      <c r="C14" s="14"/>
      <c r="D14" s="14"/>
      <c r="E14" s="14"/>
      <c r="F14" s="14"/>
      <c r="G14" s="14"/>
      <c r="H14" s="14"/>
      <c r="I14" s="13"/>
      <c r="J14" s="16" t="str">
        <f>IFERROR(AVERAGEIFS(Diário!E:E,Diário!B:B,A14),"")</f>
        <v/>
      </c>
      <c r="K14" s="16" t="str">
        <f>IFERROR(AVERAGEIFS(Diário!F:F,Diário!B:B,A14),"")</f>
        <v/>
      </c>
      <c r="L14" s="16" t="str">
        <f>IFERROR(AVERAGEIFS(Diário!G:G,Diário!B:B,A14),"")</f>
        <v/>
      </c>
      <c r="M14" s="17">
        <f>COUNTIFS(Diário!B:B,A14,Diário!D:D,"Sim")</f>
        <v>0</v>
      </c>
      <c r="N14" s="18">
        <f t="shared" si="0"/>
        <v>0</v>
      </c>
      <c r="O14" s="15"/>
    </row>
    <row r="15" spans="1:15" x14ac:dyDescent="0.25">
      <c r="A15" s="11">
        <v>13</v>
      </c>
      <c r="B15" s="14"/>
      <c r="C15" s="14"/>
      <c r="D15" s="14"/>
      <c r="E15" s="14"/>
      <c r="F15" s="14"/>
      <c r="G15" s="14"/>
      <c r="H15" s="14"/>
      <c r="I15" s="13"/>
      <c r="J15" s="16" t="str">
        <f>IFERROR(AVERAGEIFS(Diário!E:E,Diário!B:B,A15),"")</f>
        <v/>
      </c>
      <c r="K15" s="16" t="str">
        <f>IFERROR(AVERAGEIFS(Diário!F:F,Diário!B:B,A15),"")</f>
        <v/>
      </c>
      <c r="L15" s="16" t="str">
        <f>IFERROR(AVERAGEIFS(Diário!G:G,Diário!B:B,A15),"")</f>
        <v/>
      </c>
      <c r="M15" s="17">
        <f>COUNTIFS(Diário!B:B,A15,Diário!D:D,"Sim")</f>
        <v>0</v>
      </c>
      <c r="N15" s="18">
        <f>M15/6</f>
        <v>0</v>
      </c>
      <c r="O15" s="15"/>
    </row>
  </sheetData>
  <mergeCells count="1">
    <mergeCell ref="A1:O1"/>
  </mergeCells>
  <dataValidations count="1">
    <dataValidation type="list" allowBlank="1" sqref="I3:I15" xr:uid="{00000000-0002-0000-0300-000000000000}">
      <formula1>"Bronze,Prata,Ouro"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showGridLines="0" zoomScaleNormal="100" workbookViewId="0">
      <selection activeCell="E23" sqref="E23"/>
    </sheetView>
  </sheetViews>
  <sheetFormatPr defaultColWidth="8.7109375" defaultRowHeight="15" x14ac:dyDescent="0.25"/>
  <cols>
    <col min="1" max="1" width="34" customWidth="1"/>
    <col min="2" max="5" width="10" customWidth="1"/>
    <col min="6" max="6" width="20" customWidth="1"/>
  </cols>
  <sheetData>
    <row r="1" spans="1:6" ht="15.75" x14ac:dyDescent="0.25">
      <c r="A1" s="27" t="s">
        <v>48</v>
      </c>
      <c r="B1" s="27"/>
      <c r="C1" s="27"/>
      <c r="D1" s="27"/>
      <c r="E1" s="27"/>
      <c r="F1" s="27"/>
    </row>
    <row r="3" spans="1:6" ht="24" x14ac:dyDescent="0.25">
      <c r="A3" s="10" t="s">
        <v>49</v>
      </c>
      <c r="B3" s="10" t="s">
        <v>50</v>
      </c>
      <c r="C3" s="10" t="s">
        <v>51</v>
      </c>
      <c r="D3" s="10" t="s">
        <v>52</v>
      </c>
      <c r="E3" s="10" t="s">
        <v>53</v>
      </c>
      <c r="F3" s="10" t="s">
        <v>54</v>
      </c>
    </row>
    <row r="4" spans="1:6" x14ac:dyDescent="0.25">
      <c r="A4" s="19" t="s">
        <v>55</v>
      </c>
      <c r="B4" s="14"/>
      <c r="C4" s="14"/>
      <c r="D4" s="14"/>
      <c r="E4" s="14"/>
      <c r="F4" s="20" t="str">
        <f t="shared" ref="F4:F10" si="0">IF(OR(B4="",E4=""),"",E4-B4)</f>
        <v/>
      </c>
    </row>
    <row r="5" spans="1:6" x14ac:dyDescent="0.25">
      <c r="A5" s="19" t="s">
        <v>56</v>
      </c>
      <c r="B5" s="14"/>
      <c r="C5" s="14"/>
      <c r="D5" s="14"/>
      <c r="E5" s="14"/>
      <c r="F5" s="20" t="str">
        <f t="shared" si="0"/>
        <v/>
      </c>
    </row>
    <row r="6" spans="1:6" x14ac:dyDescent="0.25">
      <c r="A6" s="19" t="s">
        <v>57</v>
      </c>
      <c r="B6" s="14"/>
      <c r="C6" s="14"/>
      <c r="D6" s="14"/>
      <c r="E6" s="14"/>
      <c r="F6" s="20" t="str">
        <f t="shared" si="0"/>
        <v/>
      </c>
    </row>
    <row r="7" spans="1:6" x14ac:dyDescent="0.25">
      <c r="A7" s="19" t="s">
        <v>58</v>
      </c>
      <c r="B7" s="14"/>
      <c r="C7" s="14"/>
      <c r="D7" s="14"/>
      <c r="E7" s="14"/>
      <c r="F7" s="20" t="str">
        <f t="shared" si="0"/>
        <v/>
      </c>
    </row>
    <row r="8" spans="1:6" x14ac:dyDescent="0.25">
      <c r="A8" s="19" t="s">
        <v>59</v>
      </c>
      <c r="B8" s="14"/>
      <c r="C8" s="14"/>
      <c r="D8" s="14"/>
      <c r="E8" s="14"/>
      <c r="F8" s="20" t="str">
        <f t="shared" si="0"/>
        <v/>
      </c>
    </row>
    <row r="9" spans="1:6" x14ac:dyDescent="0.25">
      <c r="A9" s="19" t="s">
        <v>60</v>
      </c>
      <c r="B9" s="14"/>
      <c r="C9" s="14"/>
      <c r="D9" s="14"/>
      <c r="E9" s="14"/>
      <c r="F9" s="20" t="str">
        <f t="shared" si="0"/>
        <v/>
      </c>
    </row>
    <row r="10" spans="1:6" x14ac:dyDescent="0.25">
      <c r="A10" s="19" t="s">
        <v>61</v>
      </c>
      <c r="B10" s="14"/>
      <c r="C10" s="14"/>
      <c r="D10" s="14"/>
      <c r="E10" s="14"/>
      <c r="F10" s="20" t="str">
        <f t="shared" si="0"/>
        <v/>
      </c>
    </row>
    <row r="12" spans="1:6" x14ac:dyDescent="0.25">
      <c r="A12" s="21" t="s">
        <v>62</v>
      </c>
    </row>
    <row r="14" spans="1:6" ht="24" x14ac:dyDescent="0.25">
      <c r="A14" s="10" t="s">
        <v>63</v>
      </c>
      <c r="B14" s="10" t="s">
        <v>50</v>
      </c>
      <c r="C14" s="10" t="s">
        <v>51</v>
      </c>
      <c r="D14" s="10" t="s">
        <v>52</v>
      </c>
      <c r="E14" s="10" t="s">
        <v>53</v>
      </c>
      <c r="F14" s="10" t="s">
        <v>54</v>
      </c>
    </row>
    <row r="15" spans="1:6" x14ac:dyDescent="0.25">
      <c r="A15" s="19" t="s">
        <v>35</v>
      </c>
      <c r="B15" s="14"/>
      <c r="C15" s="14"/>
      <c r="D15" s="14"/>
      <c r="E15" s="14"/>
      <c r="F15" s="20" t="str">
        <f t="shared" ref="F15:F21" si="1">IF(OR(B15="",E15=""),"",E15-B15)</f>
        <v/>
      </c>
    </row>
    <row r="16" spans="1:6" x14ac:dyDescent="0.25">
      <c r="A16" s="19" t="s">
        <v>36</v>
      </c>
      <c r="B16" s="14"/>
      <c r="C16" s="14"/>
      <c r="D16" s="14"/>
      <c r="E16" s="14"/>
      <c r="F16" s="20" t="str">
        <f t="shared" si="1"/>
        <v/>
      </c>
    </row>
    <row r="17" spans="1:6" x14ac:dyDescent="0.25">
      <c r="A17" s="19" t="s">
        <v>37</v>
      </c>
      <c r="B17" s="14"/>
      <c r="C17" s="14"/>
      <c r="D17" s="14"/>
      <c r="E17" s="14"/>
      <c r="F17" s="20" t="str">
        <f t="shared" si="1"/>
        <v/>
      </c>
    </row>
    <row r="18" spans="1:6" x14ac:dyDescent="0.25">
      <c r="A18" s="19" t="s">
        <v>38</v>
      </c>
      <c r="B18" s="14"/>
      <c r="C18" s="14"/>
      <c r="D18" s="14"/>
      <c r="E18" s="14"/>
      <c r="F18" s="20" t="str">
        <f t="shared" si="1"/>
        <v/>
      </c>
    </row>
    <row r="19" spans="1:6" x14ac:dyDescent="0.25">
      <c r="A19" s="19" t="s">
        <v>39</v>
      </c>
      <c r="B19" s="14"/>
      <c r="C19" s="14"/>
      <c r="D19" s="14"/>
      <c r="E19" s="14"/>
      <c r="F19" s="20" t="str">
        <f t="shared" si="1"/>
        <v/>
      </c>
    </row>
    <row r="20" spans="1:6" x14ac:dyDescent="0.25">
      <c r="A20" s="19" t="s">
        <v>40</v>
      </c>
      <c r="B20" s="14"/>
      <c r="C20" s="14"/>
      <c r="D20" s="14"/>
      <c r="E20" s="14"/>
      <c r="F20" s="20" t="str">
        <f t="shared" si="1"/>
        <v/>
      </c>
    </row>
    <row r="21" spans="1:6" x14ac:dyDescent="0.25">
      <c r="A21" s="19" t="s">
        <v>41</v>
      </c>
      <c r="B21" s="14"/>
      <c r="C21" s="14"/>
      <c r="D21" s="14"/>
      <c r="E21" s="14"/>
      <c r="F21" s="20" t="str">
        <f t="shared" si="1"/>
        <v/>
      </c>
    </row>
    <row r="23" spans="1:6" x14ac:dyDescent="0.25">
      <c r="A23" s="22" t="s">
        <v>64</v>
      </c>
      <c r="B23" s="23" t="s">
        <v>65</v>
      </c>
      <c r="C23" s="24">
        <v>166</v>
      </c>
      <c r="D23" s="23" t="s">
        <v>66</v>
      </c>
      <c r="E23" s="25" t="str">
        <f>IF(OR(C23="",E16=""),"",E16/C23)</f>
        <v/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Início</vt:lpstr>
      <vt:lpstr>Painel</vt:lpstr>
      <vt:lpstr>Diário</vt:lpstr>
      <vt:lpstr>Semanal</vt:lpstr>
      <vt:lpstr>Avaliações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kleber oliveira</cp:lastModifiedBy>
  <cp:revision>1</cp:revision>
  <dcterms:created xsi:type="dcterms:W3CDTF">2026-07-16T01:49:36Z</dcterms:created>
  <dcterms:modified xsi:type="dcterms:W3CDTF">2026-07-16T03:20:16Z</dcterms:modified>
  <dc:language>en-US</dc:language>
</cp:coreProperties>
</file>